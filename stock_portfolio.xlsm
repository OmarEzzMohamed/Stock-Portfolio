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P:\..Progremming\CodeAlpha Py\Stock Portfolio\stock_portfolio\"/>
    </mc:Choice>
  </mc:AlternateContent>
  <bookViews>
    <workbookView xWindow="2970" yWindow="1935" windowWidth="23040" windowHeight="13665" tabRatio="500"/>
  </bookViews>
  <sheets>
    <sheet name="Portfolio" sheetId="1" r:id="rId1"/>
    <sheet name="_xlwings.conf" sheetId="2" r:id="rId2"/>
  </sheets>
  <functionGroups builtInGroupCount="18"/>
  <externalReferences>
    <externalReference r:id="rId3"/>
  </externalReferences>
  <definedNames>
    <definedName name="TARGET_CURRENCY">Portfolio!$B$7</definedName>
    <definedName name="TICKER">Portfolio!$B$9</definedName>
    <definedName name="TIMESTAMP">Portfolio!$B$4</definedName>
  </definedNames>
  <calcPr calcId="162913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I5" i="1" l="1"/>
  <c r="G5" i="1"/>
  <c r="E5" i="1"/>
  <c r="C8" i="1"/>
  <c r="S24" i="1" l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20" i="1"/>
  <c r="S21" i="1"/>
  <c r="S22" i="1"/>
  <c r="S23" i="1"/>
  <c r="S13" i="1"/>
  <c r="D9" i="1"/>
  <c r="O20" i="1"/>
  <c r="P20" i="1"/>
  <c r="O21" i="1"/>
  <c r="R21" i="1" s="1"/>
  <c r="P21" i="1"/>
  <c r="O22" i="1"/>
  <c r="R22" i="1" s="1"/>
  <c r="P22" i="1"/>
  <c r="O23" i="1"/>
  <c r="P23" i="1"/>
  <c r="O24" i="1"/>
  <c r="R24" i="1" s="1"/>
  <c r="P24" i="1"/>
  <c r="O25" i="1"/>
  <c r="P25" i="1"/>
  <c r="R25" i="1" s="1"/>
  <c r="Q25" i="1"/>
  <c r="O26" i="1"/>
  <c r="P26" i="1"/>
  <c r="Q26" i="1" s="1"/>
  <c r="O27" i="1"/>
  <c r="R27" i="1" s="1"/>
  <c r="P27" i="1"/>
  <c r="Q27" i="1" s="1"/>
  <c r="O28" i="1"/>
  <c r="P28" i="1"/>
  <c r="R28" i="1" s="1"/>
  <c r="Q28" i="1"/>
  <c r="O29" i="1"/>
  <c r="P29" i="1"/>
  <c r="O30" i="1"/>
  <c r="R30" i="1" s="1"/>
  <c r="P30" i="1"/>
  <c r="O31" i="1"/>
  <c r="P31" i="1"/>
  <c r="Q31" i="1"/>
  <c r="R31" i="1"/>
  <c r="O32" i="1"/>
  <c r="P32" i="1"/>
  <c r="O33" i="1"/>
  <c r="R33" i="1" s="1"/>
  <c r="P33" i="1"/>
  <c r="O34" i="1"/>
  <c r="P34" i="1"/>
  <c r="R34" i="1" s="1"/>
  <c r="Q34" i="1"/>
  <c r="O35" i="1"/>
  <c r="P35" i="1"/>
  <c r="Q35" i="1" s="1"/>
  <c r="O36" i="1"/>
  <c r="R36" i="1" s="1"/>
  <c r="P36" i="1"/>
  <c r="O37" i="1"/>
  <c r="P37" i="1"/>
  <c r="R37" i="1" s="1"/>
  <c r="Q37" i="1"/>
  <c r="O38" i="1"/>
  <c r="P38" i="1"/>
  <c r="O39" i="1"/>
  <c r="R39" i="1" s="1"/>
  <c r="P39" i="1"/>
  <c r="O40" i="1"/>
  <c r="P40" i="1"/>
  <c r="Q40" i="1"/>
  <c r="R40" i="1"/>
  <c r="O41" i="1"/>
  <c r="P41" i="1"/>
  <c r="O42" i="1"/>
  <c r="P42" i="1"/>
  <c r="O43" i="1"/>
  <c r="P43" i="1"/>
  <c r="R43" i="1" s="1"/>
  <c r="Q43" i="1"/>
  <c r="O44" i="1"/>
  <c r="P44" i="1"/>
  <c r="Q44" i="1" s="1"/>
  <c r="O45" i="1"/>
  <c r="P45" i="1"/>
  <c r="O46" i="1"/>
  <c r="P46" i="1"/>
  <c r="R46" i="1" s="1"/>
  <c r="Q46" i="1"/>
  <c r="O47" i="1"/>
  <c r="P47" i="1"/>
  <c r="O48" i="1"/>
  <c r="P48" i="1"/>
  <c r="O49" i="1"/>
  <c r="P49" i="1"/>
  <c r="Q49" i="1"/>
  <c r="R49" i="1"/>
  <c r="O50" i="1"/>
  <c r="P50" i="1"/>
  <c r="O51" i="1"/>
  <c r="P51" i="1"/>
  <c r="O52" i="1"/>
  <c r="P52" i="1"/>
  <c r="R52" i="1" s="1"/>
  <c r="Q52" i="1"/>
  <c r="O53" i="1"/>
  <c r="P53" i="1"/>
  <c r="Q53" i="1" s="1"/>
  <c r="O54" i="1"/>
  <c r="P54" i="1"/>
  <c r="O55" i="1"/>
  <c r="P55" i="1"/>
  <c r="R55" i="1" s="1"/>
  <c r="Q55" i="1"/>
  <c r="O56" i="1"/>
  <c r="P56" i="1"/>
  <c r="O57" i="1"/>
  <c r="P57" i="1"/>
  <c r="O58" i="1"/>
  <c r="P58" i="1"/>
  <c r="Q58" i="1"/>
  <c r="R58" i="1"/>
  <c r="O59" i="1"/>
  <c r="P59" i="1"/>
  <c r="O60" i="1"/>
  <c r="P60" i="1"/>
  <c r="O61" i="1"/>
  <c r="P61" i="1"/>
  <c r="R61" i="1" s="1"/>
  <c r="Q61" i="1"/>
  <c r="O62" i="1"/>
  <c r="P62" i="1"/>
  <c r="Q62" i="1" s="1"/>
  <c r="O63" i="1"/>
  <c r="P63" i="1"/>
  <c r="O64" i="1"/>
  <c r="P64" i="1"/>
  <c r="R64" i="1" s="1"/>
  <c r="Q64" i="1"/>
  <c r="O65" i="1"/>
  <c r="P65" i="1"/>
  <c r="O66" i="1"/>
  <c r="P66" i="1"/>
  <c r="O67" i="1"/>
  <c r="P67" i="1"/>
  <c r="Q67" i="1"/>
  <c r="R67" i="1"/>
  <c r="O68" i="1"/>
  <c r="P68" i="1"/>
  <c r="O69" i="1"/>
  <c r="P69" i="1"/>
  <c r="O70" i="1"/>
  <c r="P70" i="1"/>
  <c r="R70" i="1" s="1"/>
  <c r="Q70" i="1"/>
  <c r="O71" i="1"/>
  <c r="P71" i="1"/>
  <c r="Q71" i="1" s="1"/>
  <c r="O72" i="1"/>
  <c r="P72" i="1"/>
  <c r="O73" i="1"/>
  <c r="P73" i="1"/>
  <c r="R73" i="1" s="1"/>
  <c r="Q73" i="1"/>
  <c r="O74" i="1"/>
  <c r="P74" i="1"/>
  <c r="O75" i="1"/>
  <c r="P75" i="1"/>
  <c r="O76" i="1"/>
  <c r="P76" i="1"/>
  <c r="Q76" i="1"/>
  <c r="R76" i="1"/>
  <c r="O77" i="1"/>
  <c r="P77" i="1"/>
  <c r="O78" i="1"/>
  <c r="P78" i="1"/>
  <c r="O79" i="1"/>
  <c r="P79" i="1"/>
  <c r="R79" i="1" s="1"/>
  <c r="Q79" i="1"/>
  <c r="O80" i="1"/>
  <c r="P80" i="1"/>
  <c r="Q80" i="1" s="1"/>
  <c r="O81" i="1"/>
  <c r="P81" i="1"/>
  <c r="Q81" i="1" s="1"/>
  <c r="O82" i="1"/>
  <c r="P82" i="1"/>
  <c r="R82" i="1" s="1"/>
  <c r="Q82" i="1"/>
  <c r="O83" i="1"/>
  <c r="P83" i="1"/>
  <c r="O84" i="1"/>
  <c r="P84" i="1"/>
  <c r="O85" i="1"/>
  <c r="P85" i="1"/>
  <c r="Q85" i="1"/>
  <c r="R85" i="1"/>
  <c r="O86" i="1"/>
  <c r="P86" i="1"/>
  <c r="O87" i="1"/>
  <c r="P87" i="1"/>
  <c r="O88" i="1"/>
  <c r="P88" i="1"/>
  <c r="R88" i="1" s="1"/>
  <c r="Q88" i="1"/>
  <c r="O89" i="1"/>
  <c r="P89" i="1"/>
  <c r="Q89" i="1" s="1"/>
  <c r="O90" i="1"/>
  <c r="P90" i="1"/>
  <c r="Q90" i="1" s="1"/>
  <c r="O91" i="1"/>
  <c r="P91" i="1"/>
  <c r="R91" i="1" s="1"/>
  <c r="Q91" i="1"/>
  <c r="O92" i="1"/>
  <c r="P92" i="1"/>
  <c r="O93" i="1"/>
  <c r="P93" i="1"/>
  <c r="O94" i="1"/>
  <c r="P94" i="1"/>
  <c r="Q94" i="1"/>
  <c r="R94" i="1"/>
  <c r="O95" i="1"/>
  <c r="P95" i="1"/>
  <c r="O96" i="1"/>
  <c r="P96" i="1"/>
  <c r="O97" i="1"/>
  <c r="P97" i="1"/>
  <c r="R97" i="1" s="1"/>
  <c r="Q97" i="1"/>
  <c r="O98" i="1"/>
  <c r="P98" i="1"/>
  <c r="Q98" i="1" s="1"/>
  <c r="O99" i="1"/>
  <c r="P99" i="1"/>
  <c r="Q99" i="1" s="1"/>
  <c r="O100" i="1"/>
  <c r="P100" i="1"/>
  <c r="R100" i="1" s="1"/>
  <c r="Q100" i="1"/>
  <c r="O19" i="1"/>
  <c r="P19" i="1"/>
  <c r="P18" i="1"/>
  <c r="O18" i="1"/>
  <c r="P17" i="1"/>
  <c r="O17" i="1"/>
  <c r="P16" i="1"/>
  <c r="O16" i="1"/>
  <c r="P15" i="1"/>
  <c r="O15" i="1"/>
  <c r="P14" i="1"/>
  <c r="O14" i="1"/>
  <c r="P13" i="1"/>
  <c r="O13" i="1"/>
  <c r="P12" i="1"/>
  <c r="O12" i="1"/>
  <c r="O8" i="1" s="1"/>
  <c r="P11" i="1"/>
  <c r="O11" i="1"/>
  <c r="P10" i="1"/>
  <c r="P8" i="1" s="1"/>
  <c r="K5" i="1" s="1"/>
  <c r="O10" i="1"/>
  <c r="E9" i="1"/>
  <c r="R8" i="1" l="1"/>
  <c r="O5" i="1" s="1"/>
  <c r="Q22" i="1"/>
  <c r="S19" i="1"/>
  <c r="Q95" i="1"/>
  <c r="Q86" i="1"/>
  <c r="Q77" i="1"/>
  <c r="Q68" i="1"/>
  <c r="Q59" i="1"/>
  <c r="Q50" i="1"/>
  <c r="Q41" i="1"/>
  <c r="Q32" i="1"/>
  <c r="Q23" i="1"/>
  <c r="Q72" i="1"/>
  <c r="Q63" i="1"/>
  <c r="Q54" i="1"/>
  <c r="Q45" i="1"/>
  <c r="Q36" i="1"/>
  <c r="Q93" i="1"/>
  <c r="Q84" i="1"/>
  <c r="Q75" i="1"/>
  <c r="Q66" i="1"/>
  <c r="Q57" i="1"/>
  <c r="Q48" i="1"/>
  <c r="Q39" i="1"/>
  <c r="Q30" i="1"/>
  <c r="Q21" i="1"/>
  <c r="Q19" i="1"/>
  <c r="Q92" i="1"/>
  <c r="Q83" i="1"/>
  <c r="Q74" i="1"/>
  <c r="Q65" i="1"/>
  <c r="Q56" i="1"/>
  <c r="Q47" i="1"/>
  <c r="Q38" i="1"/>
  <c r="Q29" i="1"/>
  <c r="Q20" i="1"/>
  <c r="Q96" i="1"/>
  <c r="Q87" i="1"/>
  <c r="Q78" i="1"/>
  <c r="Q69" i="1"/>
  <c r="Q60" i="1"/>
  <c r="Q51" i="1"/>
  <c r="Q42" i="1"/>
  <c r="Q33" i="1"/>
  <c r="Q24" i="1"/>
  <c r="R14" i="1"/>
  <c r="Q16" i="1"/>
  <c r="R17" i="1"/>
  <c r="R12" i="1"/>
  <c r="R18" i="1"/>
  <c r="R15" i="1"/>
  <c r="R13" i="1"/>
  <c r="R11" i="1"/>
  <c r="R10" i="1"/>
  <c r="R99" i="1"/>
  <c r="R96" i="1"/>
  <c r="R93" i="1"/>
  <c r="R90" i="1"/>
  <c r="R87" i="1"/>
  <c r="R84" i="1"/>
  <c r="R81" i="1"/>
  <c r="R78" i="1"/>
  <c r="R75" i="1"/>
  <c r="R72" i="1"/>
  <c r="R69" i="1"/>
  <c r="R66" i="1"/>
  <c r="R63" i="1"/>
  <c r="R60" i="1"/>
  <c r="R57" i="1"/>
  <c r="R54" i="1"/>
  <c r="R51" i="1"/>
  <c r="R48" i="1"/>
  <c r="R45" i="1"/>
  <c r="R42" i="1"/>
  <c r="R98" i="1"/>
  <c r="R95" i="1"/>
  <c r="R92" i="1"/>
  <c r="R89" i="1"/>
  <c r="R86" i="1"/>
  <c r="R83" i="1"/>
  <c r="R80" i="1"/>
  <c r="R77" i="1"/>
  <c r="R74" i="1"/>
  <c r="R71" i="1"/>
  <c r="R68" i="1"/>
  <c r="R65" i="1"/>
  <c r="R62" i="1"/>
  <c r="R59" i="1"/>
  <c r="R56" i="1"/>
  <c r="R53" i="1"/>
  <c r="R50" i="1"/>
  <c r="R47" i="1"/>
  <c r="R44" i="1"/>
  <c r="R41" i="1"/>
  <c r="R38" i="1"/>
  <c r="R35" i="1"/>
  <c r="R32" i="1"/>
  <c r="R29" i="1"/>
  <c r="R26" i="1"/>
  <c r="R23" i="1"/>
  <c r="R20" i="1"/>
  <c r="R19" i="1"/>
  <c r="Q10" i="1"/>
  <c r="Q13" i="1"/>
  <c r="R16" i="1"/>
  <c r="Q11" i="1"/>
  <c r="Q14" i="1"/>
  <c r="Q17" i="1"/>
  <c r="Q12" i="1"/>
  <c r="Q15" i="1"/>
  <c r="Q18" i="1"/>
  <c r="Q8" i="1" l="1"/>
  <c r="M5" i="1" s="1"/>
  <c r="S17" i="1"/>
  <c r="S18" i="1"/>
  <c r="S16" i="1"/>
  <c r="S15" i="1"/>
  <c r="S14" i="1"/>
  <c r="S12" i="1"/>
  <c r="S11" i="1"/>
  <c r="S10" i="1"/>
</calcChain>
</file>

<file path=xl/sharedStrings.xml><?xml version="1.0" encoding="utf-8"?>
<sst xmlns="http://schemas.openxmlformats.org/spreadsheetml/2006/main" count="72" uniqueCount="65">
  <si>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</si>
  <si>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</si>
  <si>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</si>
  <si>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</si>
  <si>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</si>
  <si>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</si>
  <si>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</si>
  <si>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</si>
  <si>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</si>
  <si>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</si>
  <si>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</si>
  <si>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</si>
  <si>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</si>
  <si>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</si>
  <si>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</si>
  <si>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Name</t>
  </si>
  <si>
    <t>Open Price</t>
  </si>
  <si>
    <t>Currency</t>
  </si>
  <si>
    <t>USD</t>
  </si>
  <si>
    <t>Last Updated:</t>
  </si>
  <si>
    <t>Ticker</t>
  </si>
  <si>
    <t>INPUT FIELDS</t>
  </si>
  <si>
    <t>Convert Values to</t>
  </si>
  <si>
    <t>Shares</t>
  </si>
  <si>
    <t>AAPL</t>
  </si>
  <si>
    <t>MSFT</t>
  </si>
  <si>
    <t>AMZN</t>
  </si>
  <si>
    <t>TSLA</t>
  </si>
  <si>
    <t>Apple Inc.</t>
  </si>
  <si>
    <t>Amazon.com, Inc.</t>
  </si>
  <si>
    <t>Tesla, Inc.</t>
  </si>
  <si>
    <t>Microsoft Corporation</t>
  </si>
  <si>
    <t>BTC-USD</t>
  </si>
  <si>
    <t>BAS.DE</t>
  </si>
  <si>
    <t>2914.T</t>
  </si>
  <si>
    <t>invalid ticker</t>
  </si>
  <si>
    <t>ITB.DE</t>
  </si>
  <si>
    <t>O</t>
  </si>
  <si>
    <t>BASF SE</t>
  </si>
  <si>
    <t>Japan Tobacco Inc.</t>
  </si>
  <si>
    <t>Imperial Brands PLC</t>
  </si>
  <si>
    <t>Realty Income Corporation</t>
  </si>
  <si>
    <t>EUR</t>
  </si>
  <si>
    <t>JPY</t>
  </si>
  <si>
    <t>Conversion
Rate</t>
  </si>
  <si>
    <t>50-day
Average</t>
  </si>
  <si>
    <t>200-day
Average</t>
  </si>
  <si>
    <t>Total Cost Basis</t>
  </si>
  <si>
    <t>Total Market Value</t>
  </si>
  <si>
    <t>Total Return (abs.)</t>
  </si>
  <si>
    <t>Total Return (rel.)</t>
  </si>
  <si>
    <t>Bitcoin USD</t>
  </si>
  <si>
    <t>Daily Low</t>
  </si>
  <si>
    <t>Daily High</t>
  </si>
  <si>
    <t>Yearly Low</t>
  </si>
  <si>
    <t>Yearly High</t>
  </si>
  <si>
    <t>Portfolio Weighting</t>
  </si>
  <si>
    <t>Values in</t>
  </si>
  <si>
    <t># of Stocks</t>
  </si>
  <si>
    <t>Capital Invested</t>
  </si>
  <si>
    <t>Portfolio Value</t>
  </si>
  <si>
    <t>ROI (abs)</t>
  </si>
  <si>
    <t>ROI (%)</t>
  </si>
  <si>
    <t>Jul-01-2024_12:25:09</t>
  </si>
  <si>
    <t xml:space="preserve">   Stock Portfolio Tracker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</si>
</sst>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70" formatCode="_(* #,##0_);_(* \(#,##0\);_(* &quot;-&quot;??_);_(@_)"/>
  </numFmts>
  <fonts count="1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D4DEE8"/>
        <bgColor indexed="64"/>
      </patternFill>
    </fill>
  </fills>
  <borders count="2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double">
        <color theme="0" tint="-0.34998626667073579"/>
      </left>
      <right/>
      <top/>
      <bottom/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70" fontId="0" fillId="5" borderId="1" xfId="4" applyNumberFormat="1" applyFont="1" applyFill="1" applyBorder="1"/>
    <xf numFmtId="43" fontId="0" fillId="5" borderId="1" xfId="4" applyFont="1" applyFill="1" applyBorder="1"/>
    <xf numFmtId="10" fontId="0" fillId="5" borderId="1" xfId="1" applyNumberFormat="1" applyFont="1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0" fillId="9" borderId="0" xfId="0" applyFont="1" applyFill="1" applyAlignment="1">
      <alignment vertical="center"/>
    </xf>
    <xf numFmtId="0" fontId="0" fillId="6" borderId="2" xfId="0" applyFont="1" applyFill="1" applyBorder="1" applyAlignment="1">
      <alignment horizontal="right" vertical="center"/>
    </xf>
    <xf numFmtId="0" fontId="0" fillId="9" borderId="2" xfId="0" applyFont="1" applyFill="1" applyBorder="1" applyAlignment="1">
      <alignment horizontal="right" vertical="center"/>
    </xf>
    <xf numFmtId="0" fontId="0" fillId="0" borderId="0" xfId="0" applyFont="1" applyAlignment="1">
      <alignment horizontal="right" vertical="center"/>
    </xf>
    <xf numFmtId="0" fontId="0" fillId="9" borderId="2" xfId="0" applyFont="1" applyFill="1" applyBorder="1" applyAlignment="1">
      <alignment vertical="center"/>
    </xf>
    <xf numFmtId="0" fontId="0" fillId="6" borderId="4" xfId="0" applyFont="1" applyFill="1" applyBorder="1" applyAlignment="1">
      <alignment vertical="center"/>
    </xf>
    <xf numFmtId="49" fontId="0" fillId="9" borderId="2" xfId="0" applyNumberFormat="1" applyFont="1" applyFill="1" applyBorder="1" applyAlignment="1">
      <alignment horizontal="right" vertical="center"/>
    </xf>
    <xf numFmtId="0" fontId="0" fillId="0" borderId="6" xfId="0" applyFont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7" xfId="0" applyFont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vertical="center"/>
    </xf>
    <xf numFmtId="0" fontId="0" fillId="6" borderId="11" xfId="0" applyFont="1" applyFill="1" applyBorder="1" applyAlignment="1">
      <alignment horizontal="right" vertical="center"/>
    </xf>
    <xf numFmtId="0" fontId="0" fillId="9" borderId="11" xfId="0" applyFont="1" applyFill="1" applyBorder="1" applyAlignment="1">
      <alignment horizontal="right" vertical="center"/>
    </xf>
    <xf numFmtId="170" fontId="0" fillId="5" borderId="13" xfId="4" applyNumberFormat="1" applyFont="1" applyFill="1" applyBorder="1"/>
    <xf numFmtId="43" fontId="0" fillId="5" borderId="13" xfId="4" applyFont="1" applyFill="1" applyBorder="1"/>
    <xf numFmtId="10" fontId="0" fillId="5" borderId="13" xfId="1" applyNumberFormat="1" applyFont="1" applyFill="1" applyBorder="1"/>
    <xf numFmtId="0" fontId="6" fillId="3" borderId="9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right" vertical="center"/>
    </xf>
    <xf numFmtId="0" fontId="4" fillId="8" borderId="0" xfId="0" applyFont="1" applyFill="1" applyAlignment="1">
      <alignment horizontal="left" vertical="center"/>
    </xf>
    <xf numFmtId="0" fontId="5" fillId="8" borderId="0" xfId="0" applyFont="1" applyFill="1" applyAlignment="1">
      <alignment horizontal="left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9" fontId="0" fillId="5" borderId="1" xfId="1" applyFont="1" applyFill="1" applyBorder="1" applyAlignment="1">
      <alignment horizontal="right"/>
    </xf>
    <xf numFmtId="170" fontId="7" fillId="0" borderId="0" xfId="0" applyNumberFormat="1" applyFont="1" applyAlignment="1">
      <alignment horizontal="center" vertical="center"/>
    </xf>
    <xf numFmtId="2" fontId="0" fillId="0" borderId="0" xfId="0" applyNumberFormat="1" applyFont="1" applyAlignment="1">
      <alignment vertical="center"/>
    </xf>
    <xf numFmtId="2" fontId="0" fillId="0" borderId="5" xfId="0" applyNumberFormat="1" applyFont="1" applyBorder="1" applyAlignment="1">
      <alignment vertical="center"/>
    </xf>
    <xf numFmtId="2" fontId="6" fillId="3" borderId="9" xfId="0" applyNumberFormat="1" applyFont="1" applyFill="1" applyBorder="1" applyAlignment="1">
      <alignment horizontal="center" vertical="center" wrapText="1"/>
    </xf>
    <xf numFmtId="2" fontId="0" fillId="6" borderId="12" xfId="0" applyNumberFormat="1" applyFont="1" applyFill="1" applyBorder="1" applyAlignment="1">
      <alignment horizontal="right" vertical="center"/>
    </xf>
    <xf numFmtId="2" fontId="0" fillId="6" borderId="3" xfId="0" applyNumberFormat="1" applyFont="1" applyFill="1" applyBorder="1" applyAlignment="1">
      <alignment horizontal="right" vertical="center"/>
    </xf>
    <xf numFmtId="2" fontId="0" fillId="0" borderId="0" xfId="0" applyNumberFormat="1" applyFont="1" applyAlignment="1">
      <alignment horizontal="right" vertical="center"/>
    </xf>
    <xf numFmtId="0" fontId="6" fillId="3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10" fontId="7" fillId="0" borderId="0" xfId="0" applyNumberFormat="1" applyFont="1" applyAlignment="1">
      <alignment horizontal="center" vertical="center"/>
    </xf>
    <xf numFmtId="2" fontId="0" fillId="0" borderId="8" xfId="0" applyNumberFormat="1" applyFont="1" applyBorder="1" applyAlignment="1">
      <alignment vertical="center"/>
    </xf>
    <xf numFmtId="0" fontId="0" fillId="0" borderId="6" xfId="0" applyFont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4" fontId="11" fillId="7" borderId="0" xfId="2" applyNumberFormat="1" applyFont="1" applyFill="1" applyBorder="1" applyAlignment="1">
      <alignment horizontal="center" vertical="center"/>
    </xf>
    <xf numFmtId="10" fontId="11" fillId="7" borderId="0" xfId="0" applyNumberFormat="1" applyFont="1" applyFill="1" applyBorder="1" applyAlignment="1">
      <alignment horizontal="center" vertical="center"/>
    </xf>
    <xf numFmtId="0" fontId="10" fillId="7" borderId="14" xfId="0" applyFont="1" applyFill="1" applyBorder="1" applyAlignment="1">
      <alignment horizontal="center" vertical="center"/>
    </xf>
    <xf numFmtId="0" fontId="10" fillId="7" borderId="15" xfId="0" applyFont="1" applyFill="1" applyBorder="1" applyAlignment="1">
      <alignment horizontal="center" vertical="center"/>
    </xf>
    <xf numFmtId="0" fontId="10" fillId="7" borderId="16" xfId="0" applyFont="1" applyFill="1" applyBorder="1" applyAlignment="1">
      <alignment horizontal="center" vertical="center"/>
    </xf>
    <xf numFmtId="0" fontId="11" fillId="7" borderId="17" xfId="0" applyFont="1" applyFill="1" applyBorder="1" applyAlignment="1">
      <alignment horizontal="center" vertical="center"/>
    </xf>
    <xf numFmtId="0" fontId="11" fillId="7" borderId="18" xfId="0" applyFont="1" applyFill="1" applyBorder="1" applyAlignment="1">
      <alignment horizontal="center" vertical="center"/>
    </xf>
    <xf numFmtId="0" fontId="11" fillId="7" borderId="19" xfId="0" applyFont="1" applyFill="1" applyBorder="1" applyAlignment="1">
      <alignment horizontal="center" vertical="center"/>
    </xf>
    <xf numFmtId="0" fontId="11" fillId="7" borderId="20" xfId="0" applyFont="1" applyFill="1" applyBorder="1" applyAlignment="1">
      <alignment horizontal="center" vertical="center"/>
    </xf>
    <xf numFmtId="4" fontId="11" fillId="7" borderId="20" xfId="2" applyNumberFormat="1" applyFont="1" applyFill="1" applyBorder="1" applyAlignment="1">
      <alignment horizontal="center" vertical="center"/>
    </xf>
    <xf numFmtId="0" fontId="11" fillId="7" borderId="2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right" vertical="center"/>
    </xf>
    <xf numFmtId="0" fontId="12" fillId="4" borderId="5" xfId="0" applyFont="1" applyFill="1" applyBorder="1" applyAlignment="1">
      <alignment horizontal="left" vertical="center"/>
    </xf>
  </cellXfs>
  <cellStyles count="6">
    <cellStyle name="Comma" xfId="4"/>
    <cellStyle name="Comma [0]" xfId="5"/>
    <cellStyle name="Currency" xfId="2"/>
    <cellStyle name="Currency [0]" xfId="3"/>
    <cellStyle name="Normal" xfId="0" builtinId="0"/>
    <cellStyle name="Percent" xfId="1"/>
  </cellStyles>
  <dxfs count="18"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9" defaultPivotStyle="PivotStyleMedium4"/>
  <colors>
    <mruColors>
      <color rgb="FFD4DEE8"/>
      <color rgb="FFBFCDDD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347042</xdr:colOff>
          <xdr:row>1</xdr:row>
          <xdr:rowOff>76201</xdr:rowOff>
        </xdr:from>
        <xdr:to>
          <xdr:col>7</xdr:col>
          <xdr:colOff>361950</xdr:colOff>
          <xdr:row>1</xdr:row>
          <xdr:rowOff>472111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..Progremming/CodeAlpha%20Py/Stock%20Portfolio/portfolio-tracking-excel-python-master/portfolio_overview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Settings"/>
      <sheetName val="xlwings.conf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16"/>
  <sheetViews>
    <sheetView tabSelected="1" zoomScaleNormal="100" workbookViewId="0">
      <selection activeCell="Q26" sqref="Q26"/>
    </sheetView>
  </sheetViews>
  <sheetFormatPr defaultColWidth="11.375" defaultRowHeight="15.75" x14ac:dyDescent="0.25"/>
  <cols>
    <col min="1" max="1" width="27.125" style="6" customWidth="1"/>
    <col min="2" max="3" width="11.375" style="6"/>
    <col min="4" max="4" width="11.375" style="34"/>
    <col min="5" max="16" width="11.375" style="7"/>
    <col min="17" max="17" width="11.375" style="6" customWidth="1"/>
    <col min="18" max="16384" width="11.375" style="6"/>
  </cols>
  <sheetData>
    <row r="1" spans="1:24" ht="2.25" customHeight="1" x14ac:dyDescent="0.25"/>
    <row r="2" spans="1:24" s="29" customFormat="1" ht="42" customHeight="1" x14ac:dyDescent="0.25">
      <c r="A2" s="28" t="s">
        <v>64</v>
      </c>
    </row>
    <row r="3" spans="1:24" s="16" customFormat="1" ht="3" customHeight="1" thickBot="1" x14ac:dyDescent="0.3">
      <c r="D3" s="35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24" s="16" customFormat="1" ht="24" customHeight="1" thickTop="1" x14ac:dyDescent="0.25">
      <c r="A4" s="57" t="s">
        <v>19</v>
      </c>
      <c r="B4" s="58" t="s">
        <v>63</v>
      </c>
      <c r="C4" s="58"/>
      <c r="D4" s="43"/>
      <c r="E4" s="48" t="s">
        <v>57</v>
      </c>
      <c r="F4" s="49"/>
      <c r="G4" s="49" t="s">
        <v>58</v>
      </c>
      <c r="H4" s="49"/>
      <c r="I4" s="49" t="s">
        <v>59</v>
      </c>
      <c r="J4" s="49"/>
      <c r="K4" s="49" t="s">
        <v>60</v>
      </c>
      <c r="L4" s="49"/>
      <c r="M4" s="49" t="s">
        <v>61</v>
      </c>
      <c r="N4" s="49"/>
      <c r="O4" s="49" t="s">
        <v>62</v>
      </c>
      <c r="P4" s="50"/>
      <c r="Q4" s="17"/>
    </row>
    <row r="5" spans="1:24" s="16" customFormat="1" ht="2.25" customHeight="1" x14ac:dyDescent="0.25">
      <c r="D5" s="43"/>
      <c r="E5" s="51" t="str">
        <f>TARGET_CURRENCY</f>
        <v>EUR</v>
      </c>
      <c r="F5" s="45"/>
      <c r="G5" s="45">
        <f>C8</f>
        <v>10</v>
      </c>
      <c r="H5" s="45"/>
      <c r="I5" s="46">
        <f>O8</f>
        <v>172746</v>
      </c>
      <c r="J5" s="46"/>
      <c r="K5" s="46">
        <f>P8</f>
        <v>198209.12999999998</v>
      </c>
      <c r="L5" s="46"/>
      <c r="M5" s="46">
        <f>Q8</f>
        <v>25463.129999999997</v>
      </c>
      <c r="N5" s="46"/>
      <c r="O5" s="47">
        <f>R8</f>
        <v>0.14740213955750048</v>
      </c>
      <c r="P5" s="52"/>
      <c r="Q5" s="17"/>
    </row>
    <row r="6" spans="1:24" s="16" customFormat="1" x14ac:dyDescent="0.25">
      <c r="A6" s="18" t="s">
        <v>21</v>
      </c>
      <c r="B6" s="15"/>
      <c r="D6" s="43"/>
      <c r="E6" s="51"/>
      <c r="F6" s="45"/>
      <c r="G6" s="45"/>
      <c r="H6" s="45"/>
      <c r="I6" s="46"/>
      <c r="J6" s="46"/>
      <c r="K6" s="46"/>
      <c r="L6" s="46"/>
      <c r="M6" s="46"/>
      <c r="N6" s="46"/>
      <c r="O6" s="45"/>
      <c r="P6" s="52"/>
      <c r="Q6" s="17"/>
    </row>
    <row r="7" spans="1:24" s="16" customFormat="1" ht="16.5" thickBot="1" x14ac:dyDescent="0.3">
      <c r="A7" s="27" t="s">
        <v>22</v>
      </c>
      <c r="B7" s="30" t="s">
        <v>42</v>
      </c>
      <c r="C7" s="17"/>
      <c r="D7" s="43"/>
      <c r="E7" s="53"/>
      <c r="F7" s="54"/>
      <c r="G7" s="54"/>
      <c r="H7" s="54"/>
      <c r="I7" s="55"/>
      <c r="J7" s="55"/>
      <c r="K7" s="55"/>
      <c r="L7" s="55"/>
      <c r="M7" s="55"/>
      <c r="N7" s="55"/>
      <c r="O7" s="54"/>
      <c r="P7" s="56"/>
      <c r="Q7" s="17"/>
    </row>
    <row r="8" spans="1:24" ht="3" customHeight="1" thickTop="1" x14ac:dyDescent="0.25">
      <c r="A8" s="27"/>
      <c r="B8" s="31"/>
      <c r="C8" s="41">
        <f>COUNTIF(B10:B100,"&lt;&gt;")</f>
        <v>10</v>
      </c>
      <c r="O8" s="33">
        <f t="shared" ref="O8:P8" si="0">SUBTOTAL(9,O10:O100)</f>
        <v>172746</v>
      </c>
      <c r="P8" s="33">
        <f t="shared" si="0"/>
        <v>198209.12999999998</v>
      </c>
      <c r="Q8" s="33">
        <f>SUBTOTAL(9,Q10:Q100)</f>
        <v>25463.129999999997</v>
      </c>
      <c r="R8" s="42">
        <f>IFERROR(P8/O8-1,"")</f>
        <v>0.14740213955750048</v>
      </c>
    </row>
    <row r="9" spans="1:24" s="25" customFormat="1" ht="49.5" customHeight="1" x14ac:dyDescent="0.25">
      <c r="A9" s="25" t="s">
        <v>15</v>
      </c>
      <c r="B9" s="25" t="s">
        <v>20</v>
      </c>
      <c r="C9" s="25" t="s">
        <v>23</v>
      </c>
      <c r="D9" s="36" t="str">
        <f>"Average Purchase Price in "&amp; TARGET_CURRENCY</f>
        <v>Average Purchase Price in EUR</v>
      </c>
      <c r="E9" s="26" t="str">
        <f>"Market Price in "&amp; TARGET_CURRENCY</f>
        <v>Market Price in EUR</v>
      </c>
      <c r="F9" s="25" t="s">
        <v>17</v>
      </c>
      <c r="G9" s="26" t="s">
        <v>44</v>
      </c>
      <c r="H9" s="25" t="s">
        <v>16</v>
      </c>
      <c r="I9" s="25" t="s">
        <v>52</v>
      </c>
      <c r="J9" s="25" t="s">
        <v>53</v>
      </c>
      <c r="K9" s="25" t="s">
        <v>54</v>
      </c>
      <c r="L9" s="25" t="s">
        <v>55</v>
      </c>
      <c r="M9" s="26" t="s">
        <v>45</v>
      </c>
      <c r="N9" s="26" t="s">
        <v>46</v>
      </c>
      <c r="O9" s="26" t="s">
        <v>47</v>
      </c>
      <c r="P9" s="26" t="s">
        <v>48</v>
      </c>
      <c r="Q9" s="26" t="s">
        <v>49</v>
      </c>
      <c r="R9" s="26" t="s">
        <v>50</v>
      </c>
      <c r="S9" s="40" t="s">
        <v>56</v>
      </c>
    </row>
    <row r="10" spans="1:24" x14ac:dyDescent="0.25">
      <c r="A10" s="8" t="s">
        <v>51</v>
      </c>
      <c r="B10" s="19" t="s">
        <v>32</v>
      </c>
      <c r="C10" s="20">
        <v>4</v>
      </c>
      <c r="D10" s="37">
        <v>1500</v>
      </c>
      <c r="E10" s="21"/>
      <c r="F10" s="21" t="s">
        <v>18</v>
      </c>
      <c r="G10" s="21">
        <v>0.94</v>
      </c>
      <c r="H10" s="21">
        <v>58633.74</v>
      </c>
      <c r="I10" s="21">
        <v>58491.24</v>
      </c>
      <c r="J10" s="21">
        <v>59592.09</v>
      </c>
      <c r="K10" s="21">
        <v>23323.32</v>
      </c>
      <c r="L10" s="21">
        <v>68996.23</v>
      </c>
      <c r="M10" s="21">
        <v>62098.31</v>
      </c>
      <c r="N10" s="21">
        <v>54275.61</v>
      </c>
      <c r="O10" s="22">
        <f>IFERROR(IF(C10&lt;&gt;"",C10*D10,""),"")</f>
        <v>6000</v>
      </c>
      <c r="P10" s="22">
        <f>IFERROR(E10*C10,"")</f>
        <v>0</v>
      </c>
      <c r="Q10" s="23">
        <f t="shared" ref="Q10:Q18" si="1">IFERROR(P10-O10,"")</f>
        <v>-6000</v>
      </c>
      <c r="R10" s="24">
        <f t="shared" ref="R10:R18" si="2">IFERROR(P10/O10-1,"")</f>
        <v>-1</v>
      </c>
      <c r="S10" s="32">
        <f>+IF(I10="","",I10/$P$8)</f>
        <v>0.29509861629481954</v>
      </c>
      <c r="T10" s="11"/>
      <c r="U10" s="11"/>
      <c r="V10" s="11"/>
      <c r="W10" s="11"/>
      <c r="X10" s="11"/>
    </row>
    <row r="11" spans="1:24" x14ac:dyDescent="0.25">
      <c r="A11" s="12" t="s">
        <v>38</v>
      </c>
      <c r="B11" s="19" t="s">
        <v>33</v>
      </c>
      <c r="C11" s="20">
        <v>4</v>
      </c>
      <c r="D11" s="37">
        <v>46</v>
      </c>
      <c r="E11" s="10">
        <v>42.02</v>
      </c>
      <c r="F11" s="10" t="s">
        <v>42</v>
      </c>
      <c r="G11" s="10">
        <v>1</v>
      </c>
      <c r="H11" s="10">
        <v>45.67</v>
      </c>
      <c r="I11" s="10">
        <v>44.83</v>
      </c>
      <c r="J11" s="10">
        <v>45.8</v>
      </c>
      <c r="K11" s="10">
        <v>40.25</v>
      </c>
      <c r="L11" s="10">
        <v>54.93</v>
      </c>
      <c r="M11" s="10">
        <v>47.94</v>
      </c>
      <c r="N11" s="10">
        <v>46.52</v>
      </c>
      <c r="O11" s="3">
        <f>IFERROR(IF(C11&lt;&gt;"",C11*D11,""),"")</f>
        <v>184</v>
      </c>
      <c r="P11" s="3">
        <f>IFERROR(E11*C11,"")</f>
        <v>168.08</v>
      </c>
      <c r="Q11" s="4">
        <f t="shared" si="1"/>
        <v>-15.919999999999987</v>
      </c>
      <c r="R11" s="5">
        <f t="shared" si="2"/>
        <v>-8.6521739130434705E-2</v>
      </c>
      <c r="S11" s="32">
        <f t="shared" ref="S11:S74" si="3">+IF(I11="","",I11/$P$8)</f>
        <v>2.261752523710689E-4</v>
      </c>
      <c r="T11" s="11"/>
      <c r="U11" s="11"/>
      <c r="V11" s="11"/>
      <c r="W11" s="11"/>
      <c r="X11" s="11"/>
    </row>
    <row r="12" spans="1:24" x14ac:dyDescent="0.25">
      <c r="A12" s="12" t="s">
        <v>39</v>
      </c>
      <c r="B12" s="13" t="s">
        <v>34</v>
      </c>
      <c r="C12" s="9">
        <v>30</v>
      </c>
      <c r="D12" s="38">
        <v>3500</v>
      </c>
      <c r="E12" s="10">
        <v>4415</v>
      </c>
      <c r="F12" s="10" t="s">
        <v>43</v>
      </c>
      <c r="G12" s="10">
        <v>0.01</v>
      </c>
      <c r="H12" s="10">
        <v>25.46</v>
      </c>
      <c r="I12" s="10">
        <v>25.4</v>
      </c>
      <c r="J12" s="10">
        <v>25.76</v>
      </c>
      <c r="K12" s="10">
        <v>17.48</v>
      </c>
      <c r="L12" s="10">
        <v>26.96</v>
      </c>
      <c r="M12" s="10">
        <v>25.6</v>
      </c>
      <c r="N12" s="10">
        <v>22.82</v>
      </c>
      <c r="O12" s="3">
        <f>IFERROR(IF(C12&lt;&gt;"",C12*D12,""),"")</f>
        <v>105000</v>
      </c>
      <c r="P12" s="3">
        <f>IFERROR(E12*C12,"")</f>
        <v>132450</v>
      </c>
      <c r="Q12" s="4">
        <f t="shared" si="1"/>
        <v>27450</v>
      </c>
      <c r="R12" s="5">
        <f t="shared" si="2"/>
        <v>0.26142857142857134</v>
      </c>
      <c r="S12" s="32">
        <f t="shared" si="3"/>
        <v>1.2814747736393376E-4</v>
      </c>
      <c r="T12" s="11"/>
      <c r="U12" s="11"/>
      <c r="V12" s="11"/>
      <c r="W12" s="11"/>
      <c r="X12" s="11"/>
    </row>
    <row r="13" spans="1:24" x14ac:dyDescent="0.25">
      <c r="A13" s="12"/>
      <c r="B13" s="13" t="s">
        <v>35</v>
      </c>
      <c r="C13" s="9">
        <v>7</v>
      </c>
      <c r="D13" s="38">
        <v>10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3">
        <f>IFERROR(IF(C13&lt;&gt;"",C13*D13,""),"")</f>
        <v>70</v>
      </c>
      <c r="P13" s="3">
        <f>IFERROR(E13*C13,"")</f>
        <v>0</v>
      </c>
      <c r="Q13" s="4">
        <f t="shared" si="1"/>
        <v>-70</v>
      </c>
      <c r="R13" s="5">
        <f t="shared" si="2"/>
        <v>-1</v>
      </c>
      <c r="S13" s="32" t="str">
        <f t="shared" si="3"/>
        <v/>
      </c>
      <c r="T13" s="11"/>
      <c r="U13" s="11"/>
      <c r="V13" s="11"/>
      <c r="W13" s="11"/>
      <c r="X13" s="11"/>
    </row>
    <row r="14" spans="1:24" x14ac:dyDescent="0.25">
      <c r="A14" s="12" t="s">
        <v>40</v>
      </c>
      <c r="B14" s="13" t="s">
        <v>36</v>
      </c>
      <c r="C14" s="9">
        <v>10</v>
      </c>
      <c r="D14" s="38">
        <v>1</v>
      </c>
      <c r="E14" s="10">
        <v>0.14000000000000001</v>
      </c>
      <c r="F14" s="10" t="s">
        <v>42</v>
      </c>
      <c r="G14" s="10">
        <v>1</v>
      </c>
      <c r="H14" s="10">
        <v>24</v>
      </c>
      <c r="I14" s="10">
        <v>23.91</v>
      </c>
      <c r="J14" s="10">
        <v>24</v>
      </c>
      <c r="K14" s="10">
        <v>18.12</v>
      </c>
      <c r="L14" s="10">
        <v>24.63</v>
      </c>
      <c r="M14" s="10">
        <v>22.73</v>
      </c>
      <c r="N14" s="10">
        <v>21.41</v>
      </c>
      <c r="O14" s="3">
        <f>IFERROR(IF(C14&lt;&gt;"",C14*D14,""),"")</f>
        <v>10</v>
      </c>
      <c r="P14" s="3">
        <f>IFERROR(E14*C14,"")</f>
        <v>1.4000000000000001</v>
      </c>
      <c r="Q14" s="4">
        <f t="shared" si="1"/>
        <v>-8.6</v>
      </c>
      <c r="R14" s="5">
        <f t="shared" si="2"/>
        <v>-0.86</v>
      </c>
      <c r="S14" s="32">
        <f t="shared" si="3"/>
        <v>1.2063016471541953E-4</v>
      </c>
      <c r="T14" s="11"/>
      <c r="U14" s="11"/>
      <c r="V14" s="11"/>
      <c r="W14" s="11"/>
      <c r="X14" s="11"/>
    </row>
    <row r="15" spans="1:24" x14ac:dyDescent="0.25">
      <c r="A15" s="12" t="s">
        <v>41</v>
      </c>
      <c r="B15" s="13" t="s">
        <v>37</v>
      </c>
      <c r="C15" s="9">
        <v>87</v>
      </c>
      <c r="D15" s="38">
        <v>50</v>
      </c>
      <c r="E15" s="10">
        <v>52.82</v>
      </c>
      <c r="F15" s="10" t="s">
        <v>18</v>
      </c>
      <c r="G15" s="10">
        <v>0.94</v>
      </c>
      <c r="H15" s="10">
        <v>49.31</v>
      </c>
      <c r="I15" s="10">
        <v>48.77</v>
      </c>
      <c r="J15" s="10">
        <v>49.45</v>
      </c>
      <c r="K15" s="10">
        <v>42.14</v>
      </c>
      <c r="L15" s="10">
        <v>60.04</v>
      </c>
      <c r="M15" s="10">
        <v>50.17</v>
      </c>
      <c r="N15" s="10">
        <v>49.84</v>
      </c>
      <c r="O15" s="3">
        <f>IFERROR(IF(C15&lt;&gt;"",C15*D15,""),"")</f>
        <v>4350</v>
      </c>
      <c r="P15" s="3">
        <f>IFERROR(E15*C15,"")</f>
        <v>4595.34</v>
      </c>
      <c r="Q15" s="4">
        <f t="shared" si="1"/>
        <v>245.34000000000015</v>
      </c>
      <c r="R15" s="5">
        <f t="shared" si="2"/>
        <v>5.6400000000000006E-2</v>
      </c>
      <c r="S15" s="32">
        <f t="shared" si="3"/>
        <v>2.4605324689130117E-4</v>
      </c>
      <c r="T15" s="11"/>
      <c r="U15" s="11"/>
      <c r="V15" s="11"/>
      <c r="W15" s="11"/>
      <c r="X15" s="11"/>
    </row>
    <row r="16" spans="1:24" x14ac:dyDescent="0.25">
      <c r="A16" s="12" t="s">
        <v>31</v>
      </c>
      <c r="B16" s="13" t="s">
        <v>25</v>
      </c>
      <c r="C16" s="9">
        <v>23</v>
      </c>
      <c r="D16" s="38">
        <v>350</v>
      </c>
      <c r="E16" s="10">
        <v>418.14</v>
      </c>
      <c r="F16" s="10" t="s">
        <v>18</v>
      </c>
      <c r="G16" s="10">
        <v>0.94</v>
      </c>
      <c r="H16" s="10">
        <v>423.86</v>
      </c>
      <c r="I16" s="10">
        <v>417.63</v>
      </c>
      <c r="J16" s="10">
        <v>426.03</v>
      </c>
      <c r="K16" s="10">
        <v>289.5</v>
      </c>
      <c r="L16" s="10">
        <v>426.77</v>
      </c>
      <c r="M16" s="10">
        <v>395.4</v>
      </c>
      <c r="N16" s="10">
        <v>364.47</v>
      </c>
      <c r="O16" s="3">
        <f>IFERROR(IF(C16&lt;&gt;"",C16*D16,""),"")</f>
        <v>8050</v>
      </c>
      <c r="P16" s="3">
        <f>IFERROR(E16*C16,"")</f>
        <v>9617.2199999999993</v>
      </c>
      <c r="Q16" s="4">
        <f t="shared" si="1"/>
        <v>1567.2199999999993</v>
      </c>
      <c r="R16" s="5">
        <f t="shared" si="2"/>
        <v>0.19468571428571413</v>
      </c>
      <c r="S16" s="32">
        <f t="shared" si="3"/>
        <v>2.1070169673818762E-3</v>
      </c>
      <c r="T16" s="11"/>
      <c r="U16" s="11"/>
      <c r="V16" s="11"/>
      <c r="W16" s="11"/>
      <c r="X16" s="11"/>
    </row>
    <row r="17" spans="1:24" x14ac:dyDescent="0.25">
      <c r="A17" s="12" t="s">
        <v>28</v>
      </c>
      <c r="B17" s="13" t="s">
        <v>24</v>
      </c>
      <c r="C17" s="9">
        <v>120</v>
      </c>
      <c r="D17" s="38">
        <v>190</v>
      </c>
      <c r="E17" s="10">
        <v>197.04</v>
      </c>
      <c r="F17" s="10" t="s">
        <v>18</v>
      </c>
      <c r="G17" s="10">
        <v>0.94</v>
      </c>
      <c r="H17" s="10">
        <v>201.89</v>
      </c>
      <c r="I17" s="10">
        <v>196.74</v>
      </c>
      <c r="J17" s="10">
        <v>202.14</v>
      </c>
      <c r="K17" s="10">
        <v>153.5</v>
      </c>
      <c r="L17" s="10">
        <v>206.01</v>
      </c>
      <c r="M17" s="10">
        <v>178.39</v>
      </c>
      <c r="N17" s="10">
        <v>171.86</v>
      </c>
      <c r="O17" s="3">
        <f t="shared" ref="O17:O18" si="4">IFERROR(IF(C17&lt;&gt;"",C17*D17,""),"")</f>
        <v>22800</v>
      </c>
      <c r="P17" s="3">
        <f t="shared" ref="P17:P18" si="5">IFERROR(E17*C17,"")</f>
        <v>23644.799999999999</v>
      </c>
      <c r="Q17" s="4">
        <f t="shared" si="1"/>
        <v>844.79999999999927</v>
      </c>
      <c r="R17" s="5">
        <f t="shared" si="2"/>
        <v>3.7052631578947226E-2</v>
      </c>
      <c r="S17" s="32">
        <f>+IF(I17="","",I17/$P$8)</f>
        <v>9.9258798018032782E-4</v>
      </c>
      <c r="T17" s="11"/>
      <c r="U17" s="11"/>
      <c r="V17" s="11"/>
      <c r="W17" s="11"/>
      <c r="X17" s="11"/>
    </row>
    <row r="18" spans="1:24" x14ac:dyDescent="0.25">
      <c r="A18" s="12" t="s">
        <v>29</v>
      </c>
      <c r="B18" s="13" t="s">
        <v>26</v>
      </c>
      <c r="C18" s="9">
        <v>51</v>
      </c>
      <c r="D18" s="38">
        <v>182</v>
      </c>
      <c r="E18" s="10">
        <v>180.79</v>
      </c>
      <c r="F18" s="14" t="s">
        <v>18</v>
      </c>
      <c r="G18" s="10">
        <v>0.94</v>
      </c>
      <c r="H18" s="10">
        <v>185</v>
      </c>
      <c r="I18" s="10">
        <v>180.09</v>
      </c>
      <c r="J18" s="10">
        <v>186.03</v>
      </c>
      <c r="K18" s="10">
        <v>110.72</v>
      </c>
      <c r="L18" s="10">
        <v>186.96</v>
      </c>
      <c r="M18" s="10">
        <v>171.84</v>
      </c>
      <c r="N18" s="10">
        <v>151.19999999999999</v>
      </c>
      <c r="O18" s="3">
        <f t="shared" si="4"/>
        <v>9282</v>
      </c>
      <c r="P18" s="3">
        <f t="shared" si="5"/>
        <v>9220.2899999999991</v>
      </c>
      <c r="Q18" s="4">
        <f t="shared" si="1"/>
        <v>-61.710000000000946</v>
      </c>
      <c r="R18" s="5">
        <f t="shared" si="2"/>
        <v>-6.648351648351758E-3</v>
      </c>
      <c r="S18" s="32">
        <f t="shared" si="3"/>
        <v>9.0858579521538698E-4</v>
      </c>
      <c r="T18" s="11"/>
      <c r="U18" s="11"/>
      <c r="V18" s="11"/>
      <c r="W18" s="11"/>
      <c r="X18" s="11"/>
    </row>
    <row r="19" spans="1:24" x14ac:dyDescent="0.25">
      <c r="A19" s="12" t="s">
        <v>30</v>
      </c>
      <c r="B19" s="13" t="s">
        <v>27</v>
      </c>
      <c r="C19" s="9">
        <v>100</v>
      </c>
      <c r="D19" s="38">
        <v>170</v>
      </c>
      <c r="E19" s="10">
        <v>185.12</v>
      </c>
      <c r="F19" s="10" t="s">
        <v>18</v>
      </c>
      <c r="G19" s="10">
        <v>0.94</v>
      </c>
      <c r="H19" s="10">
        <v>186.77</v>
      </c>
      <c r="I19" s="10">
        <v>182.67</v>
      </c>
      <c r="J19" s="10">
        <v>190.1</v>
      </c>
      <c r="K19" s="10">
        <v>129.85</v>
      </c>
      <c r="L19" s="10">
        <v>280</v>
      </c>
      <c r="M19" s="10">
        <v>165.08</v>
      </c>
      <c r="N19" s="10">
        <v>192.93</v>
      </c>
      <c r="O19" s="3">
        <f t="shared" ref="O19:O22" si="6">IFERROR(IF(C19&lt;&gt;"",C19*D19,""),"")</f>
        <v>17000</v>
      </c>
      <c r="P19" s="3">
        <f t="shared" ref="P19:P22" si="7">IFERROR(E19*C19,"")</f>
        <v>18512</v>
      </c>
      <c r="Q19" s="4">
        <f t="shared" ref="Q19:Q22" si="8">IFERROR(P19-O19,"")</f>
        <v>1512</v>
      </c>
      <c r="R19" s="5">
        <f t="shared" ref="R19:R22" si="9">IFERROR(P19/O19-1,"")</f>
        <v>8.8941176470588301E-2</v>
      </c>
      <c r="S19" s="32">
        <f t="shared" si="3"/>
        <v>9.2160235000274715E-4</v>
      </c>
      <c r="T19" s="11"/>
      <c r="U19" s="11"/>
      <c r="V19" s="11"/>
      <c r="W19" s="11"/>
      <c r="X19" s="11"/>
    </row>
    <row r="20" spans="1:24" x14ac:dyDescent="0.25">
      <c r="A20" s="12"/>
      <c r="B20" s="13"/>
      <c r="C20" s="9"/>
      <c r="D20" s="38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" t="str">
        <f t="shared" si="6"/>
        <v/>
      </c>
      <c r="P20" s="3">
        <f t="shared" si="7"/>
        <v>0</v>
      </c>
      <c r="Q20" s="4" t="str">
        <f t="shared" si="8"/>
        <v/>
      </c>
      <c r="R20" s="5" t="str">
        <f t="shared" si="9"/>
        <v/>
      </c>
      <c r="S20" s="32" t="str">
        <f t="shared" si="3"/>
        <v/>
      </c>
      <c r="T20" s="11"/>
      <c r="U20" s="11"/>
      <c r="V20" s="11"/>
      <c r="W20" s="11"/>
      <c r="X20" s="11"/>
    </row>
    <row r="21" spans="1:24" x14ac:dyDescent="0.25">
      <c r="A21" s="12"/>
      <c r="B21" s="13"/>
      <c r="C21" s="9"/>
      <c r="D21" s="3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" t="str">
        <f t="shared" si="6"/>
        <v/>
      </c>
      <c r="P21" s="3">
        <f t="shared" si="7"/>
        <v>0</v>
      </c>
      <c r="Q21" s="4" t="str">
        <f t="shared" si="8"/>
        <v/>
      </c>
      <c r="R21" s="5" t="str">
        <f t="shared" si="9"/>
        <v/>
      </c>
      <c r="S21" s="32" t="str">
        <f t="shared" si="3"/>
        <v/>
      </c>
      <c r="T21" s="11"/>
      <c r="U21" s="11"/>
      <c r="V21" s="11"/>
      <c r="W21" s="11"/>
      <c r="X21" s="11"/>
    </row>
    <row r="22" spans="1:24" x14ac:dyDescent="0.25">
      <c r="A22" s="12"/>
      <c r="B22" s="13"/>
      <c r="C22" s="9"/>
      <c r="D22" s="3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" t="str">
        <f t="shared" si="6"/>
        <v/>
      </c>
      <c r="P22" s="3">
        <f t="shared" si="7"/>
        <v>0</v>
      </c>
      <c r="Q22" s="4" t="str">
        <f t="shared" si="8"/>
        <v/>
      </c>
      <c r="R22" s="5" t="str">
        <f t="shared" si="9"/>
        <v/>
      </c>
      <c r="S22" s="32" t="str">
        <f t="shared" si="3"/>
        <v/>
      </c>
      <c r="T22" s="11"/>
      <c r="U22" s="11"/>
      <c r="V22" s="11"/>
      <c r="W22" s="11"/>
      <c r="X22" s="11"/>
    </row>
    <row r="23" spans="1:24" x14ac:dyDescent="0.25">
      <c r="A23" s="12"/>
      <c r="B23" s="13"/>
      <c r="C23" s="9"/>
      <c r="D23" s="38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3" t="str">
        <f t="shared" ref="O23:O86" si="10">IFERROR(IF(C23&lt;&gt;"",C23*D23,""),"")</f>
        <v/>
      </c>
      <c r="P23" s="3">
        <f t="shared" ref="P23:P86" si="11">IFERROR(E23*C23,"")</f>
        <v>0</v>
      </c>
      <c r="Q23" s="4" t="str">
        <f t="shared" ref="Q23:Q86" si="12">IFERROR(P23-O23,"")</f>
        <v/>
      </c>
      <c r="R23" s="5" t="str">
        <f t="shared" ref="R23:R86" si="13">IFERROR(P23/O23-1,"")</f>
        <v/>
      </c>
      <c r="S23" s="32" t="str">
        <f t="shared" si="3"/>
        <v/>
      </c>
      <c r="T23" s="11"/>
      <c r="U23" s="11"/>
      <c r="V23" s="11"/>
      <c r="W23" s="11"/>
      <c r="X23" s="11"/>
    </row>
    <row r="24" spans="1:24" x14ac:dyDescent="0.25">
      <c r="A24" s="12"/>
      <c r="B24" s="13"/>
      <c r="C24" s="9"/>
      <c r="D24" s="3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3" t="str">
        <f t="shared" si="10"/>
        <v/>
      </c>
      <c r="P24" s="3">
        <f t="shared" si="11"/>
        <v>0</v>
      </c>
      <c r="Q24" s="4" t="str">
        <f t="shared" si="12"/>
        <v/>
      </c>
      <c r="R24" s="5" t="str">
        <f t="shared" si="13"/>
        <v/>
      </c>
      <c r="S24" s="32" t="str">
        <f t="shared" si="3"/>
        <v/>
      </c>
      <c r="T24" s="11"/>
      <c r="U24" s="11"/>
      <c r="V24" s="11"/>
      <c r="W24" s="11"/>
      <c r="X24" s="11"/>
    </row>
    <row r="25" spans="1:24" x14ac:dyDescent="0.25">
      <c r="A25" s="12"/>
      <c r="B25" s="13"/>
      <c r="C25" s="9"/>
      <c r="D25" s="3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3" t="str">
        <f t="shared" si="10"/>
        <v/>
      </c>
      <c r="P25" s="3">
        <f t="shared" si="11"/>
        <v>0</v>
      </c>
      <c r="Q25" s="4" t="str">
        <f t="shared" si="12"/>
        <v/>
      </c>
      <c r="R25" s="5" t="str">
        <f t="shared" si="13"/>
        <v/>
      </c>
      <c r="S25" s="32" t="str">
        <f t="shared" si="3"/>
        <v/>
      </c>
      <c r="T25" s="11"/>
      <c r="U25" s="11"/>
      <c r="V25" s="11"/>
      <c r="W25" s="11"/>
      <c r="X25" s="11"/>
    </row>
    <row r="26" spans="1:24" x14ac:dyDescent="0.25">
      <c r="A26" s="12"/>
      <c r="B26" s="13"/>
      <c r="C26" s="9"/>
      <c r="D26" s="3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3" t="str">
        <f t="shared" si="10"/>
        <v/>
      </c>
      <c r="P26" s="3">
        <f t="shared" si="11"/>
        <v>0</v>
      </c>
      <c r="Q26" s="4" t="str">
        <f t="shared" si="12"/>
        <v/>
      </c>
      <c r="R26" s="5" t="str">
        <f t="shared" si="13"/>
        <v/>
      </c>
      <c r="S26" s="32" t="str">
        <f t="shared" si="3"/>
        <v/>
      </c>
      <c r="T26" s="11"/>
      <c r="U26" s="11"/>
      <c r="V26" s="11"/>
      <c r="W26" s="11"/>
      <c r="X26" s="11"/>
    </row>
    <row r="27" spans="1:24" x14ac:dyDescent="0.25">
      <c r="A27" s="12"/>
      <c r="B27" s="13"/>
      <c r="C27" s="9"/>
      <c r="D27" s="3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3" t="str">
        <f t="shared" si="10"/>
        <v/>
      </c>
      <c r="P27" s="3">
        <f t="shared" si="11"/>
        <v>0</v>
      </c>
      <c r="Q27" s="4" t="str">
        <f t="shared" si="12"/>
        <v/>
      </c>
      <c r="R27" s="5" t="str">
        <f t="shared" si="13"/>
        <v/>
      </c>
      <c r="S27" s="32" t="str">
        <f t="shared" si="3"/>
        <v/>
      </c>
      <c r="T27" s="11"/>
      <c r="U27" s="11"/>
      <c r="V27" s="11"/>
      <c r="W27" s="11"/>
      <c r="X27" s="11"/>
    </row>
    <row r="28" spans="1:24" x14ac:dyDescent="0.25">
      <c r="A28" s="12"/>
      <c r="B28" s="13"/>
      <c r="C28" s="9"/>
      <c r="D28" s="3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3" t="str">
        <f t="shared" si="10"/>
        <v/>
      </c>
      <c r="P28" s="3">
        <f t="shared" si="11"/>
        <v>0</v>
      </c>
      <c r="Q28" s="4" t="str">
        <f t="shared" si="12"/>
        <v/>
      </c>
      <c r="R28" s="5" t="str">
        <f t="shared" si="13"/>
        <v/>
      </c>
      <c r="S28" s="32" t="str">
        <f t="shared" si="3"/>
        <v/>
      </c>
      <c r="T28" s="11"/>
      <c r="U28" s="11"/>
      <c r="V28" s="11"/>
      <c r="W28" s="11"/>
      <c r="X28" s="11"/>
    </row>
    <row r="29" spans="1:24" x14ac:dyDescent="0.25">
      <c r="A29" s="12"/>
      <c r="B29" s="13"/>
      <c r="C29" s="9"/>
      <c r="D29" s="3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3" t="str">
        <f t="shared" si="10"/>
        <v/>
      </c>
      <c r="P29" s="3">
        <f t="shared" si="11"/>
        <v>0</v>
      </c>
      <c r="Q29" s="4" t="str">
        <f t="shared" si="12"/>
        <v/>
      </c>
      <c r="R29" s="5" t="str">
        <f t="shared" si="13"/>
        <v/>
      </c>
      <c r="S29" s="32" t="str">
        <f t="shared" si="3"/>
        <v/>
      </c>
      <c r="T29" s="11"/>
      <c r="U29" s="11"/>
      <c r="V29" s="11"/>
      <c r="W29" s="11"/>
      <c r="X29" s="11"/>
    </row>
    <row r="30" spans="1:24" x14ac:dyDescent="0.25">
      <c r="A30" s="12"/>
      <c r="B30" s="13"/>
      <c r="C30" s="9"/>
      <c r="D30" s="3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3" t="str">
        <f t="shared" si="10"/>
        <v/>
      </c>
      <c r="P30" s="3">
        <f t="shared" si="11"/>
        <v>0</v>
      </c>
      <c r="Q30" s="4" t="str">
        <f t="shared" si="12"/>
        <v/>
      </c>
      <c r="R30" s="5" t="str">
        <f t="shared" si="13"/>
        <v/>
      </c>
      <c r="S30" s="32" t="str">
        <f t="shared" si="3"/>
        <v/>
      </c>
      <c r="T30" s="11"/>
      <c r="U30" s="11"/>
      <c r="V30" s="11"/>
      <c r="W30" s="11"/>
      <c r="X30" s="11"/>
    </row>
    <row r="31" spans="1:24" x14ac:dyDescent="0.25">
      <c r="A31" s="12"/>
      <c r="B31" s="13"/>
      <c r="C31" s="9"/>
      <c r="D31" s="3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3" t="str">
        <f t="shared" si="10"/>
        <v/>
      </c>
      <c r="P31" s="3">
        <f t="shared" si="11"/>
        <v>0</v>
      </c>
      <c r="Q31" s="4" t="str">
        <f t="shared" si="12"/>
        <v/>
      </c>
      <c r="R31" s="5" t="str">
        <f t="shared" si="13"/>
        <v/>
      </c>
      <c r="S31" s="32" t="str">
        <f t="shared" si="3"/>
        <v/>
      </c>
      <c r="T31" s="11"/>
      <c r="U31" s="11"/>
      <c r="V31" s="11"/>
      <c r="W31" s="11"/>
      <c r="X31" s="11"/>
    </row>
    <row r="32" spans="1:24" x14ac:dyDescent="0.25">
      <c r="A32" s="12"/>
      <c r="B32" s="13"/>
      <c r="C32" s="9"/>
      <c r="D32" s="3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3" t="str">
        <f t="shared" si="10"/>
        <v/>
      </c>
      <c r="P32" s="3">
        <f t="shared" si="11"/>
        <v>0</v>
      </c>
      <c r="Q32" s="4" t="str">
        <f t="shared" si="12"/>
        <v/>
      </c>
      <c r="R32" s="5" t="str">
        <f t="shared" si="13"/>
        <v/>
      </c>
      <c r="S32" s="32" t="str">
        <f t="shared" si="3"/>
        <v/>
      </c>
      <c r="T32" s="11"/>
      <c r="U32" s="11"/>
      <c r="V32" s="11"/>
      <c r="W32" s="11"/>
      <c r="X32" s="11"/>
    </row>
    <row r="33" spans="1:24" x14ac:dyDescent="0.25">
      <c r="A33" s="12"/>
      <c r="B33" s="13"/>
      <c r="C33" s="9"/>
      <c r="D33" s="3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3" t="str">
        <f t="shared" si="10"/>
        <v/>
      </c>
      <c r="P33" s="3">
        <f t="shared" si="11"/>
        <v>0</v>
      </c>
      <c r="Q33" s="4" t="str">
        <f t="shared" si="12"/>
        <v/>
      </c>
      <c r="R33" s="5" t="str">
        <f t="shared" si="13"/>
        <v/>
      </c>
      <c r="S33" s="32" t="str">
        <f t="shared" si="3"/>
        <v/>
      </c>
      <c r="T33" s="11"/>
      <c r="U33" s="11"/>
      <c r="V33" s="11"/>
      <c r="W33" s="11"/>
      <c r="X33" s="11"/>
    </row>
    <row r="34" spans="1:24" x14ac:dyDescent="0.25">
      <c r="A34" s="12"/>
      <c r="B34" s="13"/>
      <c r="C34" s="9"/>
      <c r="D34" s="3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3" t="str">
        <f t="shared" si="10"/>
        <v/>
      </c>
      <c r="P34" s="3">
        <f t="shared" si="11"/>
        <v>0</v>
      </c>
      <c r="Q34" s="4" t="str">
        <f t="shared" si="12"/>
        <v/>
      </c>
      <c r="R34" s="5" t="str">
        <f t="shared" si="13"/>
        <v/>
      </c>
      <c r="S34" s="32" t="str">
        <f t="shared" si="3"/>
        <v/>
      </c>
      <c r="T34" s="11"/>
      <c r="U34" s="11"/>
      <c r="V34" s="11"/>
      <c r="W34" s="11"/>
      <c r="X34" s="11"/>
    </row>
    <row r="35" spans="1:24" x14ac:dyDescent="0.25">
      <c r="A35" s="12"/>
      <c r="B35" s="13"/>
      <c r="C35" s="9"/>
      <c r="D35" s="3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3" t="str">
        <f t="shared" si="10"/>
        <v/>
      </c>
      <c r="P35" s="3">
        <f t="shared" si="11"/>
        <v>0</v>
      </c>
      <c r="Q35" s="4" t="str">
        <f t="shared" si="12"/>
        <v/>
      </c>
      <c r="R35" s="5" t="str">
        <f t="shared" si="13"/>
        <v/>
      </c>
      <c r="S35" s="32" t="str">
        <f t="shared" si="3"/>
        <v/>
      </c>
      <c r="T35" s="11"/>
      <c r="U35" s="11"/>
      <c r="V35" s="11"/>
      <c r="W35" s="11"/>
      <c r="X35" s="11"/>
    </row>
    <row r="36" spans="1:24" x14ac:dyDescent="0.25">
      <c r="A36" s="12"/>
      <c r="B36" s="13"/>
      <c r="C36" s="9"/>
      <c r="D36" s="3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3" t="str">
        <f t="shared" si="10"/>
        <v/>
      </c>
      <c r="P36" s="3">
        <f t="shared" si="11"/>
        <v>0</v>
      </c>
      <c r="Q36" s="4" t="str">
        <f t="shared" si="12"/>
        <v/>
      </c>
      <c r="R36" s="5" t="str">
        <f t="shared" si="13"/>
        <v/>
      </c>
      <c r="S36" s="32" t="str">
        <f t="shared" si="3"/>
        <v/>
      </c>
      <c r="T36" s="11"/>
      <c r="U36" s="11"/>
      <c r="V36" s="11"/>
      <c r="W36" s="11"/>
      <c r="X36" s="11"/>
    </row>
    <row r="37" spans="1:24" x14ac:dyDescent="0.25">
      <c r="A37" s="12"/>
      <c r="B37" s="13"/>
      <c r="C37" s="9"/>
      <c r="D37" s="3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3" t="str">
        <f t="shared" si="10"/>
        <v/>
      </c>
      <c r="P37" s="3">
        <f t="shared" si="11"/>
        <v>0</v>
      </c>
      <c r="Q37" s="4" t="str">
        <f t="shared" si="12"/>
        <v/>
      </c>
      <c r="R37" s="5" t="str">
        <f t="shared" si="13"/>
        <v/>
      </c>
      <c r="S37" s="32" t="str">
        <f t="shared" si="3"/>
        <v/>
      </c>
      <c r="T37" s="11"/>
      <c r="U37" s="11"/>
      <c r="V37" s="11"/>
      <c r="W37" s="11"/>
      <c r="X37" s="11"/>
    </row>
    <row r="38" spans="1:24" x14ac:dyDescent="0.25">
      <c r="A38" s="12"/>
      <c r="B38" s="13"/>
      <c r="C38" s="9"/>
      <c r="D38" s="3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3" t="str">
        <f t="shared" si="10"/>
        <v/>
      </c>
      <c r="P38" s="3">
        <f t="shared" si="11"/>
        <v>0</v>
      </c>
      <c r="Q38" s="4" t="str">
        <f t="shared" si="12"/>
        <v/>
      </c>
      <c r="R38" s="5" t="str">
        <f t="shared" si="13"/>
        <v/>
      </c>
      <c r="S38" s="32" t="str">
        <f t="shared" si="3"/>
        <v/>
      </c>
      <c r="T38" s="11"/>
      <c r="U38" s="11"/>
      <c r="V38" s="11"/>
      <c r="W38" s="11"/>
      <c r="X38" s="11"/>
    </row>
    <row r="39" spans="1:24" x14ac:dyDescent="0.25">
      <c r="A39" s="12"/>
      <c r="B39" s="13"/>
      <c r="C39" s="9"/>
      <c r="D39" s="3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3" t="str">
        <f t="shared" si="10"/>
        <v/>
      </c>
      <c r="P39" s="3">
        <f t="shared" si="11"/>
        <v>0</v>
      </c>
      <c r="Q39" s="4" t="str">
        <f t="shared" si="12"/>
        <v/>
      </c>
      <c r="R39" s="5" t="str">
        <f t="shared" si="13"/>
        <v/>
      </c>
      <c r="S39" s="32" t="str">
        <f t="shared" si="3"/>
        <v/>
      </c>
      <c r="T39" s="11"/>
      <c r="U39" s="11"/>
      <c r="V39" s="11"/>
      <c r="W39" s="11"/>
      <c r="X39" s="11"/>
    </row>
    <row r="40" spans="1:24" x14ac:dyDescent="0.25">
      <c r="A40" s="12"/>
      <c r="B40" s="13"/>
      <c r="C40" s="9"/>
      <c r="D40" s="3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3" t="str">
        <f t="shared" si="10"/>
        <v/>
      </c>
      <c r="P40" s="3">
        <f t="shared" si="11"/>
        <v>0</v>
      </c>
      <c r="Q40" s="4" t="str">
        <f t="shared" si="12"/>
        <v/>
      </c>
      <c r="R40" s="5" t="str">
        <f t="shared" si="13"/>
        <v/>
      </c>
      <c r="S40" s="32" t="str">
        <f t="shared" si="3"/>
        <v/>
      </c>
      <c r="T40" s="11"/>
      <c r="U40" s="11"/>
      <c r="V40" s="11"/>
      <c r="W40" s="11"/>
      <c r="X40" s="11"/>
    </row>
    <row r="41" spans="1:24" x14ac:dyDescent="0.25">
      <c r="A41" s="12"/>
      <c r="B41" s="13"/>
      <c r="C41" s="9"/>
      <c r="D41" s="3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3" t="str">
        <f t="shared" si="10"/>
        <v/>
      </c>
      <c r="P41" s="3">
        <f t="shared" si="11"/>
        <v>0</v>
      </c>
      <c r="Q41" s="4" t="str">
        <f t="shared" si="12"/>
        <v/>
      </c>
      <c r="R41" s="5" t="str">
        <f t="shared" si="13"/>
        <v/>
      </c>
      <c r="S41" s="32" t="str">
        <f t="shared" si="3"/>
        <v/>
      </c>
      <c r="T41" s="11"/>
      <c r="U41" s="11"/>
      <c r="V41" s="11"/>
      <c r="W41" s="11"/>
      <c r="X41" s="11"/>
    </row>
    <row r="42" spans="1:24" x14ac:dyDescent="0.25">
      <c r="A42" s="12"/>
      <c r="B42" s="13"/>
      <c r="C42" s="9"/>
      <c r="D42" s="3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3" t="str">
        <f t="shared" si="10"/>
        <v/>
      </c>
      <c r="P42" s="3">
        <f t="shared" si="11"/>
        <v>0</v>
      </c>
      <c r="Q42" s="4" t="str">
        <f t="shared" si="12"/>
        <v/>
      </c>
      <c r="R42" s="5" t="str">
        <f t="shared" si="13"/>
        <v/>
      </c>
      <c r="S42" s="32" t="str">
        <f t="shared" si="3"/>
        <v/>
      </c>
      <c r="T42" s="11"/>
      <c r="U42" s="11"/>
      <c r="V42" s="11"/>
      <c r="W42" s="11"/>
      <c r="X42" s="11"/>
    </row>
    <row r="43" spans="1:24" x14ac:dyDescent="0.25">
      <c r="A43" s="12"/>
      <c r="B43" s="13"/>
      <c r="C43" s="9"/>
      <c r="D43" s="3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3" t="str">
        <f t="shared" si="10"/>
        <v/>
      </c>
      <c r="P43" s="3">
        <f t="shared" si="11"/>
        <v>0</v>
      </c>
      <c r="Q43" s="4" t="str">
        <f t="shared" si="12"/>
        <v/>
      </c>
      <c r="R43" s="5" t="str">
        <f t="shared" si="13"/>
        <v/>
      </c>
      <c r="S43" s="32" t="str">
        <f t="shared" si="3"/>
        <v/>
      </c>
      <c r="T43" s="11"/>
      <c r="U43" s="11"/>
      <c r="V43" s="11"/>
      <c r="W43" s="11"/>
      <c r="X43" s="11"/>
    </row>
    <row r="44" spans="1:24" x14ac:dyDescent="0.25">
      <c r="A44" s="12"/>
      <c r="B44" s="13"/>
      <c r="C44" s="9"/>
      <c r="D44" s="3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3" t="str">
        <f t="shared" si="10"/>
        <v/>
      </c>
      <c r="P44" s="3">
        <f t="shared" si="11"/>
        <v>0</v>
      </c>
      <c r="Q44" s="4" t="str">
        <f t="shared" si="12"/>
        <v/>
      </c>
      <c r="R44" s="5" t="str">
        <f t="shared" si="13"/>
        <v/>
      </c>
      <c r="S44" s="32" t="str">
        <f t="shared" si="3"/>
        <v/>
      </c>
      <c r="T44" s="11"/>
      <c r="U44" s="11"/>
      <c r="V44" s="11"/>
      <c r="W44" s="11"/>
      <c r="X44" s="11"/>
    </row>
    <row r="45" spans="1:24" x14ac:dyDescent="0.25">
      <c r="A45" s="12"/>
      <c r="B45" s="13"/>
      <c r="C45" s="9"/>
      <c r="D45" s="3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3" t="str">
        <f t="shared" si="10"/>
        <v/>
      </c>
      <c r="P45" s="3">
        <f t="shared" si="11"/>
        <v>0</v>
      </c>
      <c r="Q45" s="4" t="str">
        <f t="shared" si="12"/>
        <v/>
      </c>
      <c r="R45" s="5" t="str">
        <f t="shared" si="13"/>
        <v/>
      </c>
      <c r="S45" s="32" t="str">
        <f t="shared" si="3"/>
        <v/>
      </c>
      <c r="T45" s="11"/>
      <c r="U45" s="11"/>
      <c r="V45" s="11"/>
      <c r="W45" s="11"/>
      <c r="X45" s="11"/>
    </row>
    <row r="46" spans="1:24" x14ac:dyDescent="0.25">
      <c r="A46" s="12"/>
      <c r="B46" s="13"/>
      <c r="C46" s="9"/>
      <c r="D46" s="3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3" t="str">
        <f t="shared" si="10"/>
        <v/>
      </c>
      <c r="P46" s="3">
        <f t="shared" si="11"/>
        <v>0</v>
      </c>
      <c r="Q46" s="4" t="str">
        <f t="shared" si="12"/>
        <v/>
      </c>
      <c r="R46" s="5" t="str">
        <f t="shared" si="13"/>
        <v/>
      </c>
      <c r="S46" s="32" t="str">
        <f t="shared" si="3"/>
        <v/>
      </c>
      <c r="T46" s="11"/>
      <c r="U46" s="11"/>
      <c r="V46" s="11"/>
      <c r="W46" s="11"/>
      <c r="X46" s="11"/>
    </row>
    <row r="47" spans="1:24" x14ac:dyDescent="0.25">
      <c r="A47" s="12"/>
      <c r="B47" s="13"/>
      <c r="C47" s="9"/>
      <c r="D47" s="3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3" t="str">
        <f t="shared" si="10"/>
        <v/>
      </c>
      <c r="P47" s="3">
        <f t="shared" si="11"/>
        <v>0</v>
      </c>
      <c r="Q47" s="4" t="str">
        <f t="shared" si="12"/>
        <v/>
      </c>
      <c r="R47" s="5" t="str">
        <f t="shared" si="13"/>
        <v/>
      </c>
      <c r="S47" s="32" t="str">
        <f t="shared" si="3"/>
        <v/>
      </c>
      <c r="T47" s="11"/>
      <c r="U47" s="11"/>
      <c r="V47" s="11"/>
      <c r="W47" s="11"/>
      <c r="X47" s="11"/>
    </row>
    <row r="48" spans="1:24" x14ac:dyDescent="0.25">
      <c r="A48" s="12"/>
      <c r="B48" s="13"/>
      <c r="C48" s="9"/>
      <c r="D48" s="3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3" t="str">
        <f t="shared" si="10"/>
        <v/>
      </c>
      <c r="P48" s="3">
        <f t="shared" si="11"/>
        <v>0</v>
      </c>
      <c r="Q48" s="4" t="str">
        <f t="shared" si="12"/>
        <v/>
      </c>
      <c r="R48" s="5" t="str">
        <f t="shared" si="13"/>
        <v/>
      </c>
      <c r="S48" s="32" t="str">
        <f t="shared" si="3"/>
        <v/>
      </c>
      <c r="T48" s="11"/>
      <c r="U48" s="11"/>
      <c r="V48" s="11"/>
      <c r="W48" s="11"/>
      <c r="X48" s="11"/>
    </row>
    <row r="49" spans="1:24" x14ac:dyDescent="0.25">
      <c r="A49" s="12"/>
      <c r="B49" s="13"/>
      <c r="C49" s="9"/>
      <c r="D49" s="3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3" t="str">
        <f t="shared" si="10"/>
        <v/>
      </c>
      <c r="P49" s="3">
        <f t="shared" si="11"/>
        <v>0</v>
      </c>
      <c r="Q49" s="4" t="str">
        <f t="shared" si="12"/>
        <v/>
      </c>
      <c r="R49" s="5" t="str">
        <f t="shared" si="13"/>
        <v/>
      </c>
      <c r="S49" s="32" t="str">
        <f t="shared" si="3"/>
        <v/>
      </c>
      <c r="T49" s="11"/>
      <c r="U49" s="11"/>
      <c r="V49" s="11"/>
      <c r="W49" s="11"/>
      <c r="X49" s="11"/>
    </row>
    <row r="50" spans="1:24" x14ac:dyDescent="0.25">
      <c r="A50" s="12"/>
      <c r="B50" s="13"/>
      <c r="C50" s="9"/>
      <c r="D50" s="3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3" t="str">
        <f t="shared" si="10"/>
        <v/>
      </c>
      <c r="P50" s="3">
        <f t="shared" si="11"/>
        <v>0</v>
      </c>
      <c r="Q50" s="4" t="str">
        <f t="shared" si="12"/>
        <v/>
      </c>
      <c r="R50" s="5" t="str">
        <f t="shared" si="13"/>
        <v/>
      </c>
      <c r="S50" s="32" t="str">
        <f t="shared" si="3"/>
        <v/>
      </c>
      <c r="T50" s="11"/>
      <c r="U50" s="11"/>
      <c r="V50" s="11"/>
      <c r="W50" s="11"/>
      <c r="X50" s="11"/>
    </row>
    <row r="51" spans="1:24" x14ac:dyDescent="0.25">
      <c r="A51" s="12"/>
      <c r="B51" s="13"/>
      <c r="C51" s="9"/>
      <c r="D51" s="3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3" t="str">
        <f t="shared" si="10"/>
        <v/>
      </c>
      <c r="P51" s="3">
        <f t="shared" si="11"/>
        <v>0</v>
      </c>
      <c r="Q51" s="4" t="str">
        <f t="shared" si="12"/>
        <v/>
      </c>
      <c r="R51" s="5" t="str">
        <f t="shared" si="13"/>
        <v/>
      </c>
      <c r="S51" s="32" t="str">
        <f t="shared" si="3"/>
        <v/>
      </c>
      <c r="T51" s="11"/>
      <c r="U51" s="11"/>
      <c r="V51" s="11"/>
      <c r="W51" s="11"/>
      <c r="X51" s="11"/>
    </row>
    <row r="52" spans="1:24" x14ac:dyDescent="0.25">
      <c r="A52" s="12"/>
      <c r="B52" s="13"/>
      <c r="C52" s="9"/>
      <c r="D52" s="3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3" t="str">
        <f t="shared" si="10"/>
        <v/>
      </c>
      <c r="P52" s="3">
        <f t="shared" si="11"/>
        <v>0</v>
      </c>
      <c r="Q52" s="4" t="str">
        <f t="shared" si="12"/>
        <v/>
      </c>
      <c r="R52" s="5" t="str">
        <f t="shared" si="13"/>
        <v/>
      </c>
      <c r="S52" s="32" t="str">
        <f t="shared" si="3"/>
        <v/>
      </c>
      <c r="T52" s="11"/>
      <c r="U52" s="11"/>
      <c r="V52" s="11"/>
      <c r="W52" s="11"/>
      <c r="X52" s="11"/>
    </row>
    <row r="53" spans="1:24" x14ac:dyDescent="0.25">
      <c r="A53" s="12"/>
      <c r="B53" s="13"/>
      <c r="C53" s="9"/>
      <c r="D53" s="3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3" t="str">
        <f t="shared" si="10"/>
        <v/>
      </c>
      <c r="P53" s="3">
        <f t="shared" si="11"/>
        <v>0</v>
      </c>
      <c r="Q53" s="4" t="str">
        <f t="shared" si="12"/>
        <v/>
      </c>
      <c r="R53" s="5" t="str">
        <f t="shared" si="13"/>
        <v/>
      </c>
      <c r="S53" s="32" t="str">
        <f t="shared" si="3"/>
        <v/>
      </c>
      <c r="T53" s="11"/>
      <c r="U53" s="11"/>
      <c r="V53" s="11"/>
      <c r="W53" s="11"/>
      <c r="X53" s="11"/>
    </row>
    <row r="54" spans="1:24" x14ac:dyDescent="0.25">
      <c r="A54" s="12"/>
      <c r="B54" s="13"/>
      <c r="C54" s="9"/>
      <c r="D54" s="3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3" t="str">
        <f t="shared" si="10"/>
        <v/>
      </c>
      <c r="P54" s="3">
        <f t="shared" si="11"/>
        <v>0</v>
      </c>
      <c r="Q54" s="4" t="str">
        <f t="shared" si="12"/>
        <v/>
      </c>
      <c r="R54" s="5" t="str">
        <f t="shared" si="13"/>
        <v/>
      </c>
      <c r="S54" s="32" t="str">
        <f t="shared" si="3"/>
        <v/>
      </c>
      <c r="T54" s="11"/>
      <c r="U54" s="11"/>
      <c r="V54" s="11"/>
      <c r="W54" s="11"/>
      <c r="X54" s="11"/>
    </row>
    <row r="55" spans="1:24" x14ac:dyDescent="0.25">
      <c r="A55" s="12"/>
      <c r="B55" s="13"/>
      <c r="C55" s="9"/>
      <c r="D55" s="3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3" t="str">
        <f t="shared" si="10"/>
        <v/>
      </c>
      <c r="P55" s="3">
        <f t="shared" si="11"/>
        <v>0</v>
      </c>
      <c r="Q55" s="4" t="str">
        <f t="shared" si="12"/>
        <v/>
      </c>
      <c r="R55" s="5" t="str">
        <f t="shared" si="13"/>
        <v/>
      </c>
      <c r="S55" s="32" t="str">
        <f t="shared" si="3"/>
        <v/>
      </c>
      <c r="T55" s="11"/>
      <c r="U55" s="11"/>
      <c r="V55" s="11"/>
      <c r="W55" s="11"/>
      <c r="X55" s="11"/>
    </row>
    <row r="56" spans="1:24" x14ac:dyDescent="0.25">
      <c r="A56" s="12"/>
      <c r="B56" s="13"/>
      <c r="C56" s="9"/>
      <c r="D56" s="3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3" t="str">
        <f t="shared" si="10"/>
        <v/>
      </c>
      <c r="P56" s="3">
        <f t="shared" si="11"/>
        <v>0</v>
      </c>
      <c r="Q56" s="4" t="str">
        <f t="shared" si="12"/>
        <v/>
      </c>
      <c r="R56" s="5" t="str">
        <f t="shared" si="13"/>
        <v/>
      </c>
      <c r="S56" s="32" t="str">
        <f t="shared" si="3"/>
        <v/>
      </c>
      <c r="T56" s="11"/>
      <c r="U56" s="11"/>
      <c r="V56" s="11"/>
      <c r="W56" s="11"/>
      <c r="X56" s="11"/>
    </row>
    <row r="57" spans="1:24" x14ac:dyDescent="0.25">
      <c r="A57" s="12"/>
      <c r="B57" s="13"/>
      <c r="C57" s="9"/>
      <c r="D57" s="3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3" t="str">
        <f t="shared" si="10"/>
        <v/>
      </c>
      <c r="P57" s="3">
        <f t="shared" si="11"/>
        <v>0</v>
      </c>
      <c r="Q57" s="4" t="str">
        <f t="shared" si="12"/>
        <v/>
      </c>
      <c r="R57" s="5" t="str">
        <f t="shared" si="13"/>
        <v/>
      </c>
      <c r="S57" s="32" t="str">
        <f t="shared" si="3"/>
        <v/>
      </c>
      <c r="T57" s="11"/>
      <c r="U57" s="11"/>
      <c r="V57" s="11"/>
      <c r="W57" s="11"/>
      <c r="X57" s="11"/>
    </row>
    <row r="58" spans="1:24" x14ac:dyDescent="0.25">
      <c r="A58" s="12"/>
      <c r="B58" s="13"/>
      <c r="C58" s="9"/>
      <c r="D58" s="3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3" t="str">
        <f t="shared" si="10"/>
        <v/>
      </c>
      <c r="P58" s="3">
        <f t="shared" si="11"/>
        <v>0</v>
      </c>
      <c r="Q58" s="4" t="str">
        <f t="shared" si="12"/>
        <v/>
      </c>
      <c r="R58" s="5" t="str">
        <f t="shared" si="13"/>
        <v/>
      </c>
      <c r="S58" s="32" t="str">
        <f t="shared" si="3"/>
        <v/>
      </c>
      <c r="T58" s="11"/>
      <c r="U58" s="11"/>
      <c r="V58" s="11"/>
      <c r="W58" s="11"/>
      <c r="X58" s="11"/>
    </row>
    <row r="59" spans="1:24" x14ac:dyDescent="0.25">
      <c r="A59" s="12"/>
      <c r="B59" s="13"/>
      <c r="C59" s="9"/>
      <c r="D59" s="3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3" t="str">
        <f t="shared" si="10"/>
        <v/>
      </c>
      <c r="P59" s="3">
        <f t="shared" si="11"/>
        <v>0</v>
      </c>
      <c r="Q59" s="4" t="str">
        <f t="shared" si="12"/>
        <v/>
      </c>
      <c r="R59" s="5" t="str">
        <f t="shared" si="13"/>
        <v/>
      </c>
      <c r="S59" s="32" t="str">
        <f t="shared" si="3"/>
        <v/>
      </c>
      <c r="T59" s="11"/>
      <c r="U59" s="11"/>
      <c r="V59" s="11"/>
      <c r="W59" s="11"/>
      <c r="X59" s="11"/>
    </row>
    <row r="60" spans="1:24" x14ac:dyDescent="0.25">
      <c r="A60" s="12"/>
      <c r="B60" s="13"/>
      <c r="C60" s="9"/>
      <c r="D60" s="3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3" t="str">
        <f t="shared" si="10"/>
        <v/>
      </c>
      <c r="P60" s="3">
        <f t="shared" si="11"/>
        <v>0</v>
      </c>
      <c r="Q60" s="4" t="str">
        <f t="shared" si="12"/>
        <v/>
      </c>
      <c r="R60" s="5" t="str">
        <f t="shared" si="13"/>
        <v/>
      </c>
      <c r="S60" s="32" t="str">
        <f t="shared" si="3"/>
        <v/>
      </c>
      <c r="T60" s="11"/>
      <c r="U60" s="11"/>
      <c r="V60" s="11"/>
      <c r="W60" s="11"/>
      <c r="X60" s="11"/>
    </row>
    <row r="61" spans="1:24" x14ac:dyDescent="0.25">
      <c r="A61" s="12"/>
      <c r="B61" s="13"/>
      <c r="C61" s="9"/>
      <c r="D61" s="3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3" t="str">
        <f t="shared" si="10"/>
        <v/>
      </c>
      <c r="P61" s="3">
        <f t="shared" si="11"/>
        <v>0</v>
      </c>
      <c r="Q61" s="4" t="str">
        <f t="shared" si="12"/>
        <v/>
      </c>
      <c r="R61" s="5" t="str">
        <f t="shared" si="13"/>
        <v/>
      </c>
      <c r="S61" s="32" t="str">
        <f t="shared" si="3"/>
        <v/>
      </c>
      <c r="T61" s="11"/>
      <c r="U61" s="11"/>
      <c r="V61" s="11"/>
      <c r="W61" s="11"/>
      <c r="X61" s="11"/>
    </row>
    <row r="62" spans="1:24" x14ac:dyDescent="0.25">
      <c r="A62" s="12"/>
      <c r="B62" s="13"/>
      <c r="C62" s="9"/>
      <c r="D62" s="3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3" t="str">
        <f t="shared" si="10"/>
        <v/>
      </c>
      <c r="P62" s="3">
        <f t="shared" si="11"/>
        <v>0</v>
      </c>
      <c r="Q62" s="4" t="str">
        <f t="shared" si="12"/>
        <v/>
      </c>
      <c r="R62" s="5" t="str">
        <f t="shared" si="13"/>
        <v/>
      </c>
      <c r="S62" s="32" t="str">
        <f t="shared" si="3"/>
        <v/>
      </c>
      <c r="T62" s="11"/>
      <c r="U62" s="11"/>
      <c r="V62" s="11"/>
      <c r="W62" s="11"/>
      <c r="X62" s="11"/>
    </row>
    <row r="63" spans="1:24" x14ac:dyDescent="0.25">
      <c r="A63" s="12"/>
      <c r="B63" s="13"/>
      <c r="C63" s="9"/>
      <c r="D63" s="3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3" t="str">
        <f t="shared" si="10"/>
        <v/>
      </c>
      <c r="P63" s="3">
        <f t="shared" si="11"/>
        <v>0</v>
      </c>
      <c r="Q63" s="4" t="str">
        <f t="shared" si="12"/>
        <v/>
      </c>
      <c r="R63" s="5" t="str">
        <f t="shared" si="13"/>
        <v/>
      </c>
      <c r="S63" s="32" t="str">
        <f t="shared" si="3"/>
        <v/>
      </c>
      <c r="T63" s="11"/>
      <c r="U63" s="11"/>
      <c r="V63" s="11"/>
      <c r="W63" s="11"/>
      <c r="X63" s="11"/>
    </row>
    <row r="64" spans="1:24" x14ac:dyDescent="0.25">
      <c r="A64" s="12"/>
      <c r="B64" s="13"/>
      <c r="C64" s="9"/>
      <c r="D64" s="3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3" t="str">
        <f t="shared" si="10"/>
        <v/>
      </c>
      <c r="P64" s="3">
        <f t="shared" si="11"/>
        <v>0</v>
      </c>
      <c r="Q64" s="4" t="str">
        <f t="shared" si="12"/>
        <v/>
      </c>
      <c r="R64" s="5" t="str">
        <f t="shared" si="13"/>
        <v/>
      </c>
      <c r="S64" s="32" t="str">
        <f t="shared" si="3"/>
        <v/>
      </c>
      <c r="T64" s="11"/>
      <c r="U64" s="11"/>
      <c r="V64" s="11"/>
      <c r="W64" s="11"/>
      <c r="X64" s="11"/>
    </row>
    <row r="65" spans="1:24" x14ac:dyDescent="0.25">
      <c r="A65" s="12"/>
      <c r="B65" s="13"/>
      <c r="C65" s="9"/>
      <c r="D65" s="3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3" t="str">
        <f t="shared" si="10"/>
        <v/>
      </c>
      <c r="P65" s="3">
        <f t="shared" si="11"/>
        <v>0</v>
      </c>
      <c r="Q65" s="4" t="str">
        <f t="shared" si="12"/>
        <v/>
      </c>
      <c r="R65" s="5" t="str">
        <f t="shared" si="13"/>
        <v/>
      </c>
      <c r="S65" s="32" t="str">
        <f t="shared" si="3"/>
        <v/>
      </c>
      <c r="T65" s="11"/>
      <c r="U65" s="11"/>
      <c r="V65" s="11"/>
      <c r="W65" s="11"/>
      <c r="X65" s="11"/>
    </row>
    <row r="66" spans="1:24" x14ac:dyDescent="0.25">
      <c r="A66" s="12"/>
      <c r="B66" s="13"/>
      <c r="C66" s="9"/>
      <c r="D66" s="3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3" t="str">
        <f t="shared" si="10"/>
        <v/>
      </c>
      <c r="P66" s="3">
        <f t="shared" si="11"/>
        <v>0</v>
      </c>
      <c r="Q66" s="4" t="str">
        <f t="shared" si="12"/>
        <v/>
      </c>
      <c r="R66" s="5" t="str">
        <f t="shared" si="13"/>
        <v/>
      </c>
      <c r="S66" s="32" t="str">
        <f t="shared" si="3"/>
        <v/>
      </c>
      <c r="T66" s="11"/>
      <c r="U66" s="11"/>
      <c r="V66" s="11"/>
      <c r="W66" s="11"/>
      <c r="X66" s="11"/>
    </row>
    <row r="67" spans="1:24" x14ac:dyDescent="0.25">
      <c r="A67" s="12"/>
      <c r="B67" s="13"/>
      <c r="C67" s="9"/>
      <c r="D67" s="3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3" t="str">
        <f t="shared" si="10"/>
        <v/>
      </c>
      <c r="P67" s="3">
        <f t="shared" si="11"/>
        <v>0</v>
      </c>
      <c r="Q67" s="4" t="str">
        <f t="shared" si="12"/>
        <v/>
      </c>
      <c r="R67" s="5" t="str">
        <f t="shared" si="13"/>
        <v/>
      </c>
      <c r="S67" s="32" t="str">
        <f t="shared" si="3"/>
        <v/>
      </c>
      <c r="T67" s="11"/>
      <c r="U67" s="11"/>
      <c r="V67" s="11"/>
      <c r="W67" s="11"/>
      <c r="X67" s="11"/>
    </row>
    <row r="68" spans="1:24" x14ac:dyDescent="0.25">
      <c r="A68" s="12"/>
      <c r="B68" s="13"/>
      <c r="C68" s="9"/>
      <c r="D68" s="3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3" t="str">
        <f t="shared" si="10"/>
        <v/>
      </c>
      <c r="P68" s="3">
        <f t="shared" si="11"/>
        <v>0</v>
      </c>
      <c r="Q68" s="4" t="str">
        <f t="shared" si="12"/>
        <v/>
      </c>
      <c r="R68" s="5" t="str">
        <f t="shared" si="13"/>
        <v/>
      </c>
      <c r="S68" s="32" t="str">
        <f t="shared" si="3"/>
        <v/>
      </c>
      <c r="T68" s="11"/>
      <c r="U68" s="11"/>
      <c r="V68" s="11"/>
      <c r="W68" s="11"/>
      <c r="X68" s="11"/>
    </row>
    <row r="69" spans="1:24" x14ac:dyDescent="0.25">
      <c r="A69" s="12"/>
      <c r="B69" s="13"/>
      <c r="C69" s="9"/>
      <c r="D69" s="3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3" t="str">
        <f t="shared" si="10"/>
        <v/>
      </c>
      <c r="P69" s="3">
        <f t="shared" si="11"/>
        <v>0</v>
      </c>
      <c r="Q69" s="4" t="str">
        <f t="shared" si="12"/>
        <v/>
      </c>
      <c r="R69" s="5" t="str">
        <f t="shared" si="13"/>
        <v/>
      </c>
      <c r="S69" s="32" t="str">
        <f t="shared" si="3"/>
        <v/>
      </c>
      <c r="T69" s="11"/>
      <c r="U69" s="11"/>
      <c r="V69" s="11"/>
      <c r="W69" s="11"/>
      <c r="X69" s="11"/>
    </row>
    <row r="70" spans="1:24" x14ac:dyDescent="0.25">
      <c r="A70" s="12"/>
      <c r="B70" s="13"/>
      <c r="C70" s="9"/>
      <c r="D70" s="3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3" t="str">
        <f t="shared" si="10"/>
        <v/>
      </c>
      <c r="P70" s="3">
        <f t="shared" si="11"/>
        <v>0</v>
      </c>
      <c r="Q70" s="4" t="str">
        <f t="shared" si="12"/>
        <v/>
      </c>
      <c r="R70" s="5" t="str">
        <f t="shared" si="13"/>
        <v/>
      </c>
      <c r="S70" s="32" t="str">
        <f t="shared" si="3"/>
        <v/>
      </c>
      <c r="T70" s="11"/>
      <c r="U70" s="11"/>
      <c r="V70" s="11"/>
      <c r="W70" s="11"/>
      <c r="X70" s="11"/>
    </row>
    <row r="71" spans="1:24" x14ac:dyDescent="0.25">
      <c r="A71" s="12"/>
      <c r="B71" s="13"/>
      <c r="C71" s="9"/>
      <c r="D71" s="3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3" t="str">
        <f t="shared" si="10"/>
        <v/>
      </c>
      <c r="P71" s="3">
        <f t="shared" si="11"/>
        <v>0</v>
      </c>
      <c r="Q71" s="4" t="str">
        <f t="shared" si="12"/>
        <v/>
      </c>
      <c r="R71" s="5" t="str">
        <f t="shared" si="13"/>
        <v/>
      </c>
      <c r="S71" s="32" t="str">
        <f t="shared" si="3"/>
        <v/>
      </c>
      <c r="T71" s="11"/>
      <c r="U71" s="11"/>
      <c r="V71" s="11"/>
      <c r="W71" s="11"/>
      <c r="X71" s="11"/>
    </row>
    <row r="72" spans="1:24" x14ac:dyDescent="0.25">
      <c r="A72" s="12"/>
      <c r="B72" s="13"/>
      <c r="C72" s="9"/>
      <c r="D72" s="3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3" t="str">
        <f t="shared" si="10"/>
        <v/>
      </c>
      <c r="P72" s="3">
        <f t="shared" si="11"/>
        <v>0</v>
      </c>
      <c r="Q72" s="4" t="str">
        <f t="shared" si="12"/>
        <v/>
      </c>
      <c r="R72" s="5" t="str">
        <f t="shared" si="13"/>
        <v/>
      </c>
      <c r="S72" s="32" t="str">
        <f t="shared" si="3"/>
        <v/>
      </c>
      <c r="T72" s="11"/>
      <c r="U72" s="11"/>
      <c r="V72" s="11"/>
      <c r="W72" s="11"/>
      <c r="X72" s="11"/>
    </row>
    <row r="73" spans="1:24" x14ac:dyDescent="0.25">
      <c r="A73" s="12"/>
      <c r="B73" s="13"/>
      <c r="C73" s="9"/>
      <c r="D73" s="3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3" t="str">
        <f t="shared" si="10"/>
        <v/>
      </c>
      <c r="P73" s="3">
        <f t="shared" si="11"/>
        <v>0</v>
      </c>
      <c r="Q73" s="4" t="str">
        <f t="shared" si="12"/>
        <v/>
      </c>
      <c r="R73" s="5" t="str">
        <f t="shared" si="13"/>
        <v/>
      </c>
      <c r="S73" s="32" t="str">
        <f t="shared" si="3"/>
        <v/>
      </c>
      <c r="T73" s="11"/>
      <c r="U73" s="11"/>
      <c r="V73" s="11"/>
      <c r="W73" s="11"/>
      <c r="X73" s="11"/>
    </row>
    <row r="74" spans="1:24" x14ac:dyDescent="0.25">
      <c r="A74" s="12"/>
      <c r="B74" s="13"/>
      <c r="C74" s="9"/>
      <c r="D74" s="3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3" t="str">
        <f t="shared" si="10"/>
        <v/>
      </c>
      <c r="P74" s="3">
        <f t="shared" si="11"/>
        <v>0</v>
      </c>
      <c r="Q74" s="4" t="str">
        <f t="shared" si="12"/>
        <v/>
      </c>
      <c r="R74" s="5" t="str">
        <f t="shared" si="13"/>
        <v/>
      </c>
      <c r="S74" s="32" t="str">
        <f t="shared" si="3"/>
        <v/>
      </c>
      <c r="T74" s="11"/>
      <c r="U74" s="11"/>
      <c r="V74" s="11"/>
      <c r="W74" s="11"/>
      <c r="X74" s="11"/>
    </row>
    <row r="75" spans="1:24" x14ac:dyDescent="0.25">
      <c r="A75" s="12"/>
      <c r="B75" s="13"/>
      <c r="C75" s="9"/>
      <c r="D75" s="3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3" t="str">
        <f t="shared" si="10"/>
        <v/>
      </c>
      <c r="P75" s="3">
        <f t="shared" si="11"/>
        <v>0</v>
      </c>
      <c r="Q75" s="4" t="str">
        <f t="shared" si="12"/>
        <v/>
      </c>
      <c r="R75" s="5" t="str">
        <f t="shared" si="13"/>
        <v/>
      </c>
      <c r="S75" s="32" t="str">
        <f t="shared" ref="S75:S100" si="14">+IF(I75="","",I75/$P$8)</f>
        <v/>
      </c>
      <c r="T75" s="11"/>
      <c r="U75" s="11"/>
      <c r="V75" s="11"/>
      <c r="W75" s="11"/>
      <c r="X75" s="11"/>
    </row>
    <row r="76" spans="1:24" x14ac:dyDescent="0.25">
      <c r="A76" s="12"/>
      <c r="B76" s="13"/>
      <c r="C76" s="9"/>
      <c r="D76" s="3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3" t="str">
        <f t="shared" si="10"/>
        <v/>
      </c>
      <c r="P76" s="3">
        <f t="shared" si="11"/>
        <v>0</v>
      </c>
      <c r="Q76" s="4" t="str">
        <f t="shared" si="12"/>
        <v/>
      </c>
      <c r="R76" s="5" t="str">
        <f t="shared" si="13"/>
        <v/>
      </c>
      <c r="S76" s="32" t="str">
        <f t="shared" si="14"/>
        <v/>
      </c>
      <c r="T76" s="11"/>
      <c r="U76" s="11"/>
      <c r="V76" s="11"/>
      <c r="W76" s="11"/>
      <c r="X76" s="11"/>
    </row>
    <row r="77" spans="1:24" x14ac:dyDescent="0.25">
      <c r="A77" s="12"/>
      <c r="B77" s="13"/>
      <c r="C77" s="9"/>
      <c r="D77" s="3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3" t="str">
        <f t="shared" si="10"/>
        <v/>
      </c>
      <c r="P77" s="3">
        <f t="shared" si="11"/>
        <v>0</v>
      </c>
      <c r="Q77" s="4" t="str">
        <f t="shared" si="12"/>
        <v/>
      </c>
      <c r="R77" s="5" t="str">
        <f t="shared" si="13"/>
        <v/>
      </c>
      <c r="S77" s="32" t="str">
        <f t="shared" si="14"/>
        <v/>
      </c>
      <c r="T77" s="11"/>
      <c r="U77" s="11"/>
      <c r="V77" s="11"/>
      <c r="W77" s="11"/>
      <c r="X77" s="11"/>
    </row>
    <row r="78" spans="1:24" x14ac:dyDescent="0.25">
      <c r="A78" s="12"/>
      <c r="B78" s="13"/>
      <c r="C78" s="9"/>
      <c r="D78" s="3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3" t="str">
        <f t="shared" si="10"/>
        <v/>
      </c>
      <c r="P78" s="3">
        <f t="shared" si="11"/>
        <v>0</v>
      </c>
      <c r="Q78" s="4" t="str">
        <f t="shared" si="12"/>
        <v/>
      </c>
      <c r="R78" s="5" t="str">
        <f t="shared" si="13"/>
        <v/>
      </c>
      <c r="S78" s="32" t="str">
        <f t="shared" si="14"/>
        <v/>
      </c>
      <c r="T78" s="11"/>
      <c r="U78" s="11"/>
      <c r="V78" s="11"/>
      <c r="W78" s="11"/>
      <c r="X78" s="11"/>
    </row>
    <row r="79" spans="1:24" x14ac:dyDescent="0.25">
      <c r="A79" s="12"/>
      <c r="B79" s="13"/>
      <c r="C79" s="9"/>
      <c r="D79" s="3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3" t="str">
        <f t="shared" si="10"/>
        <v/>
      </c>
      <c r="P79" s="3">
        <f t="shared" si="11"/>
        <v>0</v>
      </c>
      <c r="Q79" s="4" t="str">
        <f t="shared" si="12"/>
        <v/>
      </c>
      <c r="R79" s="5" t="str">
        <f t="shared" si="13"/>
        <v/>
      </c>
      <c r="S79" s="32" t="str">
        <f t="shared" si="14"/>
        <v/>
      </c>
      <c r="T79" s="11"/>
      <c r="U79" s="11"/>
      <c r="V79" s="11"/>
      <c r="W79" s="11"/>
      <c r="X79" s="11"/>
    </row>
    <row r="80" spans="1:24" x14ac:dyDescent="0.25">
      <c r="A80" s="12"/>
      <c r="B80" s="13"/>
      <c r="C80" s="9"/>
      <c r="D80" s="3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3" t="str">
        <f t="shared" si="10"/>
        <v/>
      </c>
      <c r="P80" s="3">
        <f t="shared" si="11"/>
        <v>0</v>
      </c>
      <c r="Q80" s="4" t="str">
        <f t="shared" si="12"/>
        <v/>
      </c>
      <c r="R80" s="5" t="str">
        <f t="shared" si="13"/>
        <v/>
      </c>
      <c r="S80" s="32" t="str">
        <f t="shared" si="14"/>
        <v/>
      </c>
      <c r="T80" s="11"/>
      <c r="U80" s="11"/>
      <c r="V80" s="11"/>
      <c r="W80" s="11"/>
      <c r="X80" s="11"/>
    </row>
    <row r="81" spans="1:24" x14ac:dyDescent="0.25">
      <c r="A81" s="12"/>
      <c r="B81" s="13"/>
      <c r="C81" s="9"/>
      <c r="D81" s="3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3" t="str">
        <f t="shared" si="10"/>
        <v/>
      </c>
      <c r="P81" s="3">
        <f t="shared" si="11"/>
        <v>0</v>
      </c>
      <c r="Q81" s="4" t="str">
        <f t="shared" si="12"/>
        <v/>
      </c>
      <c r="R81" s="5" t="str">
        <f t="shared" si="13"/>
        <v/>
      </c>
      <c r="S81" s="32" t="str">
        <f t="shared" si="14"/>
        <v/>
      </c>
      <c r="T81" s="11"/>
      <c r="U81" s="11"/>
      <c r="V81" s="11"/>
      <c r="W81" s="11"/>
      <c r="X81" s="11"/>
    </row>
    <row r="82" spans="1:24" x14ac:dyDescent="0.25">
      <c r="A82" s="12"/>
      <c r="B82" s="13"/>
      <c r="C82" s="9"/>
      <c r="D82" s="3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3" t="str">
        <f t="shared" si="10"/>
        <v/>
      </c>
      <c r="P82" s="3">
        <f t="shared" si="11"/>
        <v>0</v>
      </c>
      <c r="Q82" s="4" t="str">
        <f t="shared" si="12"/>
        <v/>
      </c>
      <c r="R82" s="5" t="str">
        <f t="shared" si="13"/>
        <v/>
      </c>
      <c r="S82" s="32" t="str">
        <f t="shared" si="14"/>
        <v/>
      </c>
      <c r="T82" s="11"/>
      <c r="U82" s="11"/>
      <c r="V82" s="11"/>
      <c r="W82" s="11"/>
      <c r="X82" s="11"/>
    </row>
    <row r="83" spans="1:24" x14ac:dyDescent="0.25">
      <c r="A83" s="12"/>
      <c r="B83" s="13"/>
      <c r="C83" s="9"/>
      <c r="D83" s="3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3" t="str">
        <f t="shared" si="10"/>
        <v/>
      </c>
      <c r="P83" s="3">
        <f t="shared" si="11"/>
        <v>0</v>
      </c>
      <c r="Q83" s="4" t="str">
        <f t="shared" si="12"/>
        <v/>
      </c>
      <c r="R83" s="5" t="str">
        <f t="shared" si="13"/>
        <v/>
      </c>
      <c r="S83" s="32" t="str">
        <f t="shared" si="14"/>
        <v/>
      </c>
      <c r="T83" s="11"/>
      <c r="U83" s="11"/>
      <c r="V83" s="11"/>
      <c r="W83" s="11"/>
      <c r="X83" s="11"/>
    </row>
    <row r="84" spans="1:24" x14ac:dyDescent="0.25">
      <c r="A84" s="12"/>
      <c r="B84" s="13"/>
      <c r="C84" s="9"/>
      <c r="D84" s="3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3" t="str">
        <f t="shared" si="10"/>
        <v/>
      </c>
      <c r="P84" s="3">
        <f t="shared" si="11"/>
        <v>0</v>
      </c>
      <c r="Q84" s="4" t="str">
        <f t="shared" si="12"/>
        <v/>
      </c>
      <c r="R84" s="5" t="str">
        <f t="shared" si="13"/>
        <v/>
      </c>
      <c r="S84" s="32" t="str">
        <f t="shared" si="14"/>
        <v/>
      </c>
      <c r="T84" s="11"/>
      <c r="U84" s="11"/>
      <c r="V84" s="11"/>
      <c r="W84" s="11"/>
      <c r="X84" s="11"/>
    </row>
    <row r="85" spans="1:24" x14ac:dyDescent="0.25">
      <c r="A85" s="12"/>
      <c r="B85" s="13"/>
      <c r="C85" s="9"/>
      <c r="D85" s="3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3" t="str">
        <f t="shared" si="10"/>
        <v/>
      </c>
      <c r="P85" s="3">
        <f t="shared" si="11"/>
        <v>0</v>
      </c>
      <c r="Q85" s="4" t="str">
        <f t="shared" si="12"/>
        <v/>
      </c>
      <c r="R85" s="5" t="str">
        <f t="shared" si="13"/>
        <v/>
      </c>
      <c r="S85" s="32" t="str">
        <f t="shared" si="14"/>
        <v/>
      </c>
      <c r="T85" s="11"/>
      <c r="U85" s="11"/>
      <c r="V85" s="11"/>
      <c r="W85" s="11"/>
      <c r="X85" s="11"/>
    </row>
    <row r="86" spans="1:24" x14ac:dyDescent="0.25">
      <c r="A86" s="12"/>
      <c r="B86" s="13"/>
      <c r="C86" s="9"/>
      <c r="D86" s="3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3" t="str">
        <f t="shared" si="10"/>
        <v/>
      </c>
      <c r="P86" s="3">
        <f t="shared" si="11"/>
        <v>0</v>
      </c>
      <c r="Q86" s="4" t="str">
        <f t="shared" si="12"/>
        <v/>
      </c>
      <c r="R86" s="5" t="str">
        <f t="shared" si="13"/>
        <v/>
      </c>
      <c r="S86" s="32" t="str">
        <f t="shared" si="14"/>
        <v/>
      </c>
      <c r="T86" s="11"/>
      <c r="U86" s="11"/>
      <c r="V86" s="11"/>
      <c r="W86" s="11"/>
      <c r="X86" s="11"/>
    </row>
    <row r="87" spans="1:24" x14ac:dyDescent="0.25">
      <c r="A87" s="12"/>
      <c r="B87" s="13"/>
      <c r="C87" s="9"/>
      <c r="D87" s="3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3" t="str">
        <f t="shared" ref="O87:O100" si="15">IFERROR(IF(C87&lt;&gt;"",C87*D87,""),"")</f>
        <v/>
      </c>
      <c r="P87" s="3">
        <f t="shared" ref="P87:P100" si="16">IFERROR(E87*C87,"")</f>
        <v>0</v>
      </c>
      <c r="Q87" s="4" t="str">
        <f t="shared" ref="Q87:Q100" si="17">IFERROR(P87-O87,"")</f>
        <v/>
      </c>
      <c r="R87" s="5" t="str">
        <f t="shared" ref="R87:R100" si="18">IFERROR(P87/O87-1,"")</f>
        <v/>
      </c>
      <c r="S87" s="32" t="str">
        <f t="shared" si="14"/>
        <v/>
      </c>
      <c r="T87" s="11"/>
      <c r="U87" s="11"/>
      <c r="V87" s="11"/>
      <c r="W87" s="11"/>
      <c r="X87" s="11"/>
    </row>
    <row r="88" spans="1:24" x14ac:dyDescent="0.25">
      <c r="A88" s="12"/>
      <c r="B88" s="13"/>
      <c r="C88" s="9"/>
      <c r="D88" s="3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3" t="str">
        <f t="shared" si="15"/>
        <v/>
      </c>
      <c r="P88" s="3">
        <f t="shared" si="16"/>
        <v>0</v>
      </c>
      <c r="Q88" s="4" t="str">
        <f t="shared" si="17"/>
        <v/>
      </c>
      <c r="R88" s="5" t="str">
        <f t="shared" si="18"/>
        <v/>
      </c>
      <c r="S88" s="32" t="str">
        <f t="shared" si="14"/>
        <v/>
      </c>
      <c r="T88" s="11"/>
      <c r="U88" s="11"/>
      <c r="V88" s="11"/>
      <c r="W88" s="11"/>
      <c r="X88" s="11"/>
    </row>
    <row r="89" spans="1:24" x14ac:dyDescent="0.25">
      <c r="A89" s="12"/>
      <c r="B89" s="13"/>
      <c r="C89" s="9"/>
      <c r="D89" s="3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3" t="str">
        <f t="shared" si="15"/>
        <v/>
      </c>
      <c r="P89" s="3">
        <f t="shared" si="16"/>
        <v>0</v>
      </c>
      <c r="Q89" s="4" t="str">
        <f t="shared" si="17"/>
        <v/>
      </c>
      <c r="R89" s="5" t="str">
        <f t="shared" si="18"/>
        <v/>
      </c>
      <c r="S89" s="32" t="str">
        <f t="shared" si="14"/>
        <v/>
      </c>
      <c r="T89" s="11"/>
      <c r="U89" s="11"/>
      <c r="V89" s="11"/>
      <c r="W89" s="11"/>
      <c r="X89" s="11"/>
    </row>
    <row r="90" spans="1:24" x14ac:dyDescent="0.25">
      <c r="A90" s="12"/>
      <c r="B90" s="13"/>
      <c r="C90" s="9"/>
      <c r="D90" s="3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3" t="str">
        <f t="shared" si="15"/>
        <v/>
      </c>
      <c r="P90" s="3">
        <f t="shared" si="16"/>
        <v>0</v>
      </c>
      <c r="Q90" s="4" t="str">
        <f t="shared" si="17"/>
        <v/>
      </c>
      <c r="R90" s="5" t="str">
        <f t="shared" si="18"/>
        <v/>
      </c>
      <c r="S90" s="32" t="str">
        <f t="shared" si="14"/>
        <v/>
      </c>
      <c r="T90" s="11"/>
      <c r="U90" s="11"/>
      <c r="V90" s="11"/>
      <c r="W90" s="11"/>
      <c r="X90" s="11"/>
    </row>
    <row r="91" spans="1:24" x14ac:dyDescent="0.25">
      <c r="A91" s="12"/>
      <c r="B91" s="13"/>
      <c r="C91" s="9"/>
      <c r="D91" s="3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3" t="str">
        <f t="shared" si="15"/>
        <v/>
      </c>
      <c r="P91" s="3">
        <f t="shared" si="16"/>
        <v>0</v>
      </c>
      <c r="Q91" s="4" t="str">
        <f t="shared" si="17"/>
        <v/>
      </c>
      <c r="R91" s="5" t="str">
        <f t="shared" si="18"/>
        <v/>
      </c>
      <c r="S91" s="32" t="str">
        <f t="shared" si="14"/>
        <v/>
      </c>
      <c r="T91" s="11"/>
      <c r="U91" s="11"/>
      <c r="V91" s="11"/>
      <c r="W91" s="11"/>
      <c r="X91" s="11"/>
    </row>
    <row r="92" spans="1:24" x14ac:dyDescent="0.25">
      <c r="A92" s="12"/>
      <c r="B92" s="13"/>
      <c r="C92" s="9"/>
      <c r="D92" s="3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3" t="str">
        <f t="shared" si="15"/>
        <v/>
      </c>
      <c r="P92" s="3">
        <f t="shared" si="16"/>
        <v>0</v>
      </c>
      <c r="Q92" s="4" t="str">
        <f t="shared" si="17"/>
        <v/>
      </c>
      <c r="R92" s="5" t="str">
        <f t="shared" si="18"/>
        <v/>
      </c>
      <c r="S92" s="32" t="str">
        <f t="shared" si="14"/>
        <v/>
      </c>
      <c r="T92" s="11"/>
      <c r="U92" s="11"/>
      <c r="V92" s="11"/>
      <c r="W92" s="11"/>
      <c r="X92" s="11"/>
    </row>
    <row r="93" spans="1:24" x14ac:dyDescent="0.25">
      <c r="A93" s="12"/>
      <c r="B93" s="13"/>
      <c r="C93" s="9"/>
      <c r="D93" s="3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3" t="str">
        <f t="shared" si="15"/>
        <v/>
      </c>
      <c r="P93" s="3">
        <f t="shared" si="16"/>
        <v>0</v>
      </c>
      <c r="Q93" s="4" t="str">
        <f t="shared" si="17"/>
        <v/>
      </c>
      <c r="R93" s="5" t="str">
        <f t="shared" si="18"/>
        <v/>
      </c>
      <c r="S93" s="32" t="str">
        <f t="shared" si="14"/>
        <v/>
      </c>
      <c r="T93" s="11"/>
      <c r="U93" s="11"/>
      <c r="V93" s="11"/>
      <c r="W93" s="11"/>
      <c r="X93" s="11"/>
    </row>
    <row r="94" spans="1:24" x14ac:dyDescent="0.25">
      <c r="A94" s="12"/>
      <c r="B94" s="13"/>
      <c r="C94" s="9"/>
      <c r="D94" s="3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3" t="str">
        <f t="shared" si="15"/>
        <v/>
      </c>
      <c r="P94" s="3">
        <f t="shared" si="16"/>
        <v>0</v>
      </c>
      <c r="Q94" s="4" t="str">
        <f t="shared" si="17"/>
        <v/>
      </c>
      <c r="R94" s="5" t="str">
        <f t="shared" si="18"/>
        <v/>
      </c>
      <c r="S94" s="32" t="str">
        <f t="shared" si="14"/>
        <v/>
      </c>
      <c r="T94" s="11"/>
      <c r="U94" s="11"/>
      <c r="V94" s="11"/>
      <c r="W94" s="11"/>
      <c r="X94" s="11"/>
    </row>
    <row r="95" spans="1:24" x14ac:dyDescent="0.25">
      <c r="A95" s="12"/>
      <c r="B95" s="13"/>
      <c r="C95" s="9"/>
      <c r="D95" s="3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3" t="str">
        <f t="shared" si="15"/>
        <v/>
      </c>
      <c r="P95" s="3">
        <f t="shared" si="16"/>
        <v>0</v>
      </c>
      <c r="Q95" s="4" t="str">
        <f t="shared" si="17"/>
        <v/>
      </c>
      <c r="R95" s="5" t="str">
        <f t="shared" si="18"/>
        <v/>
      </c>
      <c r="S95" s="32" t="str">
        <f t="shared" si="14"/>
        <v/>
      </c>
      <c r="T95" s="11"/>
      <c r="U95" s="11"/>
      <c r="V95" s="11"/>
      <c r="W95" s="11"/>
      <c r="X95" s="11"/>
    </row>
    <row r="96" spans="1:24" x14ac:dyDescent="0.25">
      <c r="A96" s="12"/>
      <c r="B96" s="13"/>
      <c r="C96" s="9"/>
      <c r="D96" s="3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3" t="str">
        <f t="shared" si="15"/>
        <v/>
      </c>
      <c r="P96" s="3">
        <f t="shared" si="16"/>
        <v>0</v>
      </c>
      <c r="Q96" s="4" t="str">
        <f t="shared" si="17"/>
        <v/>
      </c>
      <c r="R96" s="5" t="str">
        <f t="shared" si="18"/>
        <v/>
      </c>
      <c r="S96" s="32" t="str">
        <f t="shared" si="14"/>
        <v/>
      </c>
      <c r="T96" s="11"/>
      <c r="U96" s="11"/>
      <c r="V96" s="11"/>
      <c r="W96" s="11"/>
      <c r="X96" s="11"/>
    </row>
    <row r="97" spans="1:24" x14ac:dyDescent="0.25">
      <c r="A97" s="12"/>
      <c r="B97" s="13"/>
      <c r="C97" s="9"/>
      <c r="D97" s="3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3" t="str">
        <f t="shared" si="15"/>
        <v/>
      </c>
      <c r="P97" s="3">
        <f t="shared" si="16"/>
        <v>0</v>
      </c>
      <c r="Q97" s="4" t="str">
        <f t="shared" si="17"/>
        <v/>
      </c>
      <c r="R97" s="5" t="str">
        <f t="shared" si="18"/>
        <v/>
      </c>
      <c r="S97" s="32" t="str">
        <f t="shared" si="14"/>
        <v/>
      </c>
      <c r="T97" s="11"/>
      <c r="U97" s="11"/>
      <c r="V97" s="11"/>
      <c r="W97" s="11"/>
      <c r="X97" s="11"/>
    </row>
    <row r="98" spans="1:24" x14ac:dyDescent="0.25">
      <c r="A98" s="12"/>
      <c r="B98" s="13"/>
      <c r="C98" s="9"/>
      <c r="D98" s="3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3" t="str">
        <f t="shared" si="15"/>
        <v/>
      </c>
      <c r="P98" s="3">
        <f t="shared" si="16"/>
        <v>0</v>
      </c>
      <c r="Q98" s="4" t="str">
        <f t="shared" si="17"/>
        <v/>
      </c>
      <c r="R98" s="5" t="str">
        <f t="shared" si="18"/>
        <v/>
      </c>
      <c r="S98" s="32" t="str">
        <f t="shared" si="14"/>
        <v/>
      </c>
      <c r="T98" s="11"/>
      <c r="U98" s="11"/>
      <c r="V98" s="11"/>
      <c r="W98" s="11"/>
      <c r="X98" s="11"/>
    </row>
    <row r="99" spans="1:24" x14ac:dyDescent="0.25">
      <c r="A99" s="12"/>
      <c r="B99" s="13"/>
      <c r="C99" s="9"/>
      <c r="D99" s="3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3" t="str">
        <f t="shared" si="15"/>
        <v/>
      </c>
      <c r="P99" s="3">
        <f t="shared" si="16"/>
        <v>0</v>
      </c>
      <c r="Q99" s="4" t="str">
        <f t="shared" si="17"/>
        <v/>
      </c>
      <c r="R99" s="5" t="str">
        <f t="shared" si="18"/>
        <v/>
      </c>
      <c r="S99" s="32" t="str">
        <f t="shared" si="14"/>
        <v/>
      </c>
      <c r="T99" s="11"/>
      <c r="U99" s="11"/>
      <c r="V99" s="11"/>
      <c r="W99" s="11"/>
      <c r="X99" s="11"/>
    </row>
    <row r="100" spans="1:24" x14ac:dyDescent="0.25">
      <c r="A100" s="12"/>
      <c r="B100" s="13"/>
      <c r="C100" s="9"/>
      <c r="D100" s="3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3" t="str">
        <f t="shared" si="15"/>
        <v/>
      </c>
      <c r="P100" s="3">
        <f t="shared" si="16"/>
        <v>0</v>
      </c>
      <c r="Q100" s="4" t="str">
        <f t="shared" si="17"/>
        <v/>
      </c>
      <c r="R100" s="5" t="str">
        <f t="shared" si="18"/>
        <v/>
      </c>
      <c r="S100" s="32" t="str">
        <f t="shared" si="14"/>
        <v/>
      </c>
      <c r="T100" s="11"/>
      <c r="U100" s="11"/>
      <c r="V100" s="11"/>
      <c r="W100" s="11"/>
      <c r="X100" s="11"/>
    </row>
    <row r="101" spans="1:24" x14ac:dyDescent="0.25">
      <c r="C101" s="11"/>
      <c r="D101" s="39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</row>
    <row r="102" spans="1:24" x14ac:dyDescent="0.25">
      <c r="C102" s="11"/>
      <c r="D102" s="39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</row>
    <row r="103" spans="1:24" x14ac:dyDescent="0.25">
      <c r="C103" s="11"/>
      <c r="D103" s="39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</row>
    <row r="104" spans="1:24" x14ac:dyDescent="0.25">
      <c r="C104" s="11"/>
      <c r="D104" s="39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</row>
    <row r="105" spans="1:24" x14ac:dyDescent="0.25">
      <c r="C105" s="11"/>
      <c r="D105" s="39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</row>
    <row r="106" spans="1:24" x14ac:dyDescent="0.25">
      <c r="C106" s="11"/>
      <c r="D106" s="39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</row>
    <row r="107" spans="1:24" x14ac:dyDescent="0.25">
      <c r="C107" s="11"/>
      <c r="D107" s="39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</row>
    <row r="108" spans="1:24" x14ac:dyDescent="0.25">
      <c r="C108" s="11"/>
      <c r="D108" s="39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</row>
    <row r="109" spans="1:24" x14ac:dyDescent="0.25">
      <c r="C109" s="11"/>
      <c r="D109" s="39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</row>
    <row r="110" spans="1:24" x14ac:dyDescent="0.25">
      <c r="C110" s="11"/>
      <c r="D110" s="39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</row>
    <row r="111" spans="1:24" x14ac:dyDescent="0.25">
      <c r="C111" s="11"/>
      <c r="D111" s="39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</row>
    <row r="112" spans="1:24" x14ac:dyDescent="0.25">
      <c r="C112" s="11"/>
      <c r="D112" s="39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</row>
    <row r="113" spans="3:24" x14ac:dyDescent="0.25">
      <c r="C113" s="11"/>
      <c r="D113" s="39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</row>
    <row r="114" spans="3:24" x14ac:dyDescent="0.25">
      <c r="C114" s="11"/>
      <c r="D114" s="39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</row>
    <row r="115" spans="3:24" x14ac:dyDescent="0.25">
      <c r="C115" s="11"/>
      <c r="D115" s="39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</row>
    <row r="116" spans="3:24" x14ac:dyDescent="0.25">
      <c r="C116" s="11"/>
      <c r="D116" s="39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</row>
  </sheetData>
  <mergeCells count="16">
    <mergeCell ref="A2:XFD2"/>
    <mergeCell ref="B4:C4"/>
    <mergeCell ref="A7:A8"/>
    <mergeCell ref="B7:B8"/>
    <mergeCell ref="E4:F4"/>
    <mergeCell ref="E5:F7"/>
    <mergeCell ref="G4:H4"/>
    <mergeCell ref="G5:H7"/>
    <mergeCell ref="I4:J4"/>
    <mergeCell ref="K4:L4"/>
    <mergeCell ref="K5:L7"/>
    <mergeCell ref="I5:J7"/>
    <mergeCell ref="M4:N4"/>
    <mergeCell ref="M5:N7"/>
    <mergeCell ref="O5:P7"/>
    <mergeCell ref="O4:P4"/>
  </mergeCells>
  <conditionalFormatting sqref="Q12:R100">
    <cfRule type="expression" dxfId="17" priority="14">
      <formula>Q12=""</formula>
    </cfRule>
    <cfRule type="cellIs" dxfId="16" priority="17" operator="lessThan">
      <formula>0</formula>
    </cfRule>
    <cfRule type="cellIs" dxfId="15" priority="18" operator="greaterThan">
      <formula>0</formula>
    </cfRule>
  </conditionalFormatting>
  <conditionalFormatting sqref="Q12:R100">
    <cfRule type="cellIs" dxfId="14" priority="15" operator="lessThan">
      <formula>0</formula>
    </cfRule>
    <cfRule type="cellIs" dxfId="13" priority="16" operator="greaterThan">
      <formula>0</formula>
    </cfRule>
  </conditionalFormatting>
  <conditionalFormatting sqref="Q11:R11">
    <cfRule type="expression" dxfId="12" priority="9">
      <formula>Q11=""</formula>
    </cfRule>
    <cfRule type="cellIs" dxfId="11" priority="12" operator="lessThan">
      <formula>0</formula>
    </cfRule>
    <cfRule type="cellIs" dxfId="10" priority="13" operator="greaterThan">
      <formula>0</formula>
    </cfRule>
  </conditionalFormatting>
  <conditionalFormatting sqref="Q11:R11">
    <cfRule type="cellIs" dxfId="9" priority="10" operator="lessThan">
      <formula>0</formula>
    </cfRule>
    <cfRule type="cellIs" dxfId="8" priority="11" operator="greaterThan">
      <formula>0</formula>
    </cfRule>
  </conditionalFormatting>
  <conditionalFormatting sqref="Q10:R10">
    <cfRule type="expression" dxfId="7" priority="4">
      <formula>Q10=""</formula>
    </cfRule>
    <cfRule type="cellIs" dxfId="6" priority="7" operator="lessThan">
      <formula>0</formula>
    </cfRule>
    <cfRule type="cellIs" dxfId="5" priority="8" operator="greaterThan">
      <formula>0</formula>
    </cfRule>
  </conditionalFormatting>
  <conditionalFormatting sqref="Q10:R10">
    <cfRule type="cellIs" dxfId="4" priority="5" operator="lessThan">
      <formula>0</formula>
    </cfRule>
    <cfRule type="cellIs" dxfId="3" priority="6" operator="greaterThan">
      <formula>0</formula>
    </cfRule>
  </conditionalFormatting>
  <conditionalFormatting sqref="E13:G18">
    <cfRule type="expression" dxfId="2" priority="3">
      <formula>ISBLANK(E13)</formula>
    </cfRule>
  </conditionalFormatting>
  <conditionalFormatting sqref="A10:A100">
    <cfRule type="expression" dxfId="1" priority="2">
      <formula>ISBLANK(A10)</formula>
    </cfRule>
  </conditionalFormatting>
  <conditionalFormatting sqref="E10:N100">
    <cfRule type="expression" dxfId="0" priority="1">
      <formula>ISBLANK(E10)</formula>
    </cfRule>
  </conditionalFormatting>
  <dataValidations disablePrompts="1" count="1">
    <dataValidation type="list" allowBlank="1" showInputMessage="1" showErrorMessage="1" sqref="B7:B8">
      <formula1>"EUR, USD, JPY, GBP. CHF, CAD, ZAR, AUD"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342900</xdr:colOff>
                    <xdr:row>1</xdr:row>
                    <xdr:rowOff>76200</xdr:rowOff>
                  </from>
                  <to>
                    <xdr:col>7</xdr:col>
                    <xdr:colOff>361950</xdr:colOff>
                    <xdr:row>1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Portfolio</vt:lpstr>
      <vt:lpstr>_xlwings.conf</vt:lpstr>
      <vt:lpstr>TARGET_CURRENCY</vt:lpstr>
      <vt:lpstr>TICKER</vt:lpstr>
      <vt:lpstr>TIMESTAMP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Omar Ezz Mohamed</cp:lastModifiedBy>
  <dcterms:created xsi:type="dcterms:W3CDTF">2015-01-25T11:31:25Z</dcterms:created>
  <dcterms:modified xsi:type="dcterms:W3CDTF">2024-07-01T09:25:43Z</dcterms:modified>
  <cp:category/>
  <cp:contentStatus/>
</cp:coreProperties>
</file>